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OneDrive\Área de Trabalho\Dashboards\"/>
    </mc:Choice>
  </mc:AlternateContent>
  <xr:revisionPtr revIDLastSave="0" documentId="13_ncr:1_{E3852A6A-5C20-4862-8698-F02DF112BD0C}" xr6:coauthVersionLast="47" xr6:coauthVersionMax="47" xr10:uidLastSave="{00000000-0000-0000-0000-000000000000}"/>
  <bookViews>
    <workbookView xWindow="-108" yWindow="-108" windowWidth="23256" windowHeight="12456" xr2:uid="{F952F56D-8DDA-426E-BC99-B20E935D6F72}"/>
  </bookViews>
  <sheets>
    <sheet name="Dashboard" sheetId="1" r:id="rId1"/>
    <sheet name="Base de Dados Original" sheetId="6" state="hidden" r:id="rId2"/>
    <sheet name="Base_Dashborad" sheetId="7" state="hidden" r:id="rId3"/>
    <sheet name="Auxiliar" sheetId="8" state="hidden" r:id="rId4"/>
  </sheets>
  <definedNames>
    <definedName name="_xlnm.Print_Area" localSheetId="0">Dashboard!$A$1:$AK$41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8" i="8" l="1"/>
  <c r="X9" i="8"/>
  <c r="X7" i="8"/>
  <c r="F19" i="8"/>
  <c r="E19" i="8"/>
  <c r="F36" i="8"/>
  <c r="E36" i="8"/>
  <c r="F54" i="8"/>
  <c r="E54" i="8"/>
  <c r="W9" i="8"/>
  <c r="W8" i="8"/>
  <c r="V9" i="8"/>
  <c r="V8" i="8"/>
  <c r="V7" i="8"/>
  <c r="W7" i="8"/>
  <c r="V91" i="7"/>
  <c r="V90" i="7"/>
  <c r="V88" i="7"/>
  <c r="S87" i="7" s="1"/>
  <c r="V87" i="7"/>
  <c r="V85" i="7"/>
  <c r="S84" i="7" s="1"/>
  <c r="V84" i="7"/>
  <c r="S90" i="7" l="1"/>
</calcChain>
</file>

<file path=xl/sharedStrings.xml><?xml version="1.0" encoding="utf-8"?>
<sst xmlns="http://schemas.openxmlformats.org/spreadsheetml/2006/main" count="295" uniqueCount="46">
  <si>
    <t xml:space="preserve">   </t>
  </si>
  <si>
    <t>BCL</t>
  </si>
  <si>
    <t>BV</t>
  </si>
  <si>
    <t>Oeste 1</t>
  </si>
  <si>
    <t>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</si>
  <si>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</si>
  <si>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</si>
  <si>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</si>
  <si>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</si>
  <si>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</si>
  <si>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</si>
  <si>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</si>
  <si>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</si>
  <si>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</si>
  <si>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</si>
  <si>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</si>
  <si>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</si>
  <si>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Estrutura</t>
  </si>
  <si>
    <t>Ano</t>
  </si>
  <si>
    <t>Nº Mês</t>
  </si>
  <si>
    <t>Volume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</si>
  <si>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</si>
  <si>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</si>
  <si>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</si>
  <si>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</si>
  <si>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</si>
  <si>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</si>
  <si>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</si>
  <si>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</si>
  <si>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</si>
  <si>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</si>
  <si>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</si>
  <si>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</si>
  <si>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OESTE 1</t>
  </si>
  <si>
    <t>Volume BCL 2026</t>
  </si>
  <si>
    <t>Volume BCL 2025</t>
  </si>
  <si>
    <t>Volume BV 2025</t>
  </si>
  <si>
    <t>Volume BV 2026</t>
  </si>
  <si>
    <t>Volume Oeste 1 2025</t>
  </si>
  <si>
    <t>Volume Oeste 1 2026</t>
  </si>
  <si>
    <t>Variação</t>
  </si>
  <si>
    <t xml:space="preserve">2025    </t>
  </si>
  <si>
    <t xml:space="preserve">2026    </t>
  </si>
  <si>
    <t xml:space="preserve">Média mensal BCL </t>
  </si>
  <si>
    <t xml:space="preserve">Média mensal BV </t>
  </si>
  <si>
    <t xml:space="preserve">Média mensal Oeste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</si>
</sst>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14" fontId="0" fillId="0" borderId="0" xfId="0" applyNumberFormat="1"/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7A7A7A"/>
      <color rgb="FF3C3C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673169889256348"/>
          <c:y val="0.24275175738952862"/>
          <c:w val="0.30266718239519746"/>
          <c:h val="0.50712259070677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bg2">
                  <a:lumMod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Auxiliar!$E$5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rgbClr val="7A7A7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A7A7A"/>
              </a:solidFill>
              <a:ln w="9525">
                <a:solidFill>
                  <a:srgbClr val="7A7A7A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Auxiliar!$E$6:$E$17</c:f>
              <c:numCache>
                <c:formatCode>#,##0.00</c:formatCode>
                <c:ptCount val="12"/>
                <c:pt idx="4">
                  <c:v>55217.17</c:v>
                </c:pt>
                <c:pt idx="5">
                  <c:v>36103.99</c:v>
                </c:pt>
                <c:pt idx="6">
                  <c:v>91668.84</c:v>
                </c:pt>
                <c:pt idx="7">
                  <c:v>2295.8200000000002</c:v>
                </c:pt>
                <c:pt idx="8">
                  <c:v>195.71</c:v>
                </c:pt>
                <c:pt idx="9">
                  <c:v>54486.65</c:v>
                </c:pt>
                <c:pt idx="10">
                  <c:v>16065.01</c:v>
                </c:pt>
                <c:pt idx="11">
                  <c:v>1935.31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BE-4653-A0B8-0EC816C0680D}"/>
            </c:ext>
          </c:extLst>
        </c:ser>
        <c:ser>
          <c:idx val="1"/>
          <c:order val="1"/>
          <c:tx>
            <c:strRef>
              <c:f>Auxiliar!$F$5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Auxiliar!$F$6:$F$17</c:f>
              <c:numCache>
                <c:formatCode>#,##0.00</c:formatCode>
                <c:ptCount val="12"/>
                <c:pt idx="0">
                  <c:v>0</c:v>
                </c:pt>
                <c:pt idx="1">
                  <c:v>52895.6</c:v>
                </c:pt>
                <c:pt idx="2">
                  <c:v>73198.27</c:v>
                </c:pt>
                <c:pt idx="3">
                  <c:v>92392.2</c:v>
                </c:pt>
                <c:pt idx="4">
                  <c:v>85426.75</c:v>
                </c:pt>
                <c:pt idx="5">
                  <c:v>59008.98</c:v>
                </c:pt>
                <c:pt idx="6">
                  <c:v>107075.8</c:v>
                </c:pt>
                <c:pt idx="7">
                  <c:v>112007.19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BE-4653-A0B8-0EC816C06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80944"/>
        <c:axId val="1824563264"/>
      </c:lineChart>
      <c:catAx>
        <c:axId val="808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3264"/>
        <c:crosses val="autoZero"/>
        <c:auto val="1"/>
        <c:lblAlgn val="ctr"/>
        <c:lblOffset val="100"/>
        <c:noMultiLvlLbl val="0"/>
      </c:catAx>
      <c:valAx>
        <c:axId val="182456326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8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Auxiliar!$E$22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rgbClr val="7A7A7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A7A7A"/>
              </a:solidFill>
              <a:ln w="9525">
                <a:solidFill>
                  <a:srgbClr val="7A7A7A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Auxiliar!$E$23:$E$34</c:f>
              <c:numCache>
                <c:formatCode>#,##0.00</c:formatCode>
                <c:ptCount val="12"/>
                <c:pt idx="2">
                  <c:v>59367.6</c:v>
                </c:pt>
                <c:pt idx="3">
                  <c:v>34257.360000000001</c:v>
                </c:pt>
                <c:pt idx="4">
                  <c:v>8633.5400000000009</c:v>
                </c:pt>
                <c:pt idx="5">
                  <c:v>86867.68</c:v>
                </c:pt>
                <c:pt idx="6">
                  <c:v>52410.15</c:v>
                </c:pt>
                <c:pt idx="7">
                  <c:v>13599.8</c:v>
                </c:pt>
                <c:pt idx="8">
                  <c:v>54017.73</c:v>
                </c:pt>
                <c:pt idx="9">
                  <c:v>28863.25</c:v>
                </c:pt>
                <c:pt idx="10">
                  <c:v>26076.77</c:v>
                </c:pt>
                <c:pt idx="11">
                  <c:v>60817.51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D7-48DF-9150-7F4FA49DA701}"/>
            </c:ext>
          </c:extLst>
        </c:ser>
        <c:ser>
          <c:idx val="1"/>
          <c:order val="1"/>
          <c:tx>
            <c:strRef>
              <c:f>Auxiliar!$F$22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Auxiliar!$F$23:$F$34</c:f>
              <c:numCache>
                <c:formatCode>#,##0.00</c:formatCode>
                <c:ptCount val="12"/>
                <c:pt idx="0">
                  <c:v>50004.639999999999</c:v>
                </c:pt>
                <c:pt idx="1">
                  <c:v>49523.67</c:v>
                </c:pt>
                <c:pt idx="2">
                  <c:v>70278.929999999993</c:v>
                </c:pt>
                <c:pt idx="3">
                  <c:v>70985.3</c:v>
                </c:pt>
                <c:pt idx="4">
                  <c:v>41187.379999999997</c:v>
                </c:pt>
                <c:pt idx="5">
                  <c:v>35993.910000000003</c:v>
                </c:pt>
                <c:pt idx="6">
                  <c:v>10553.25</c:v>
                </c:pt>
                <c:pt idx="7">
                  <c:v>7185.43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5D7-48DF-9150-7F4FA49DA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80944"/>
        <c:axId val="1824563264"/>
      </c:lineChart>
      <c:catAx>
        <c:axId val="808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3264"/>
        <c:crosses val="autoZero"/>
        <c:auto val="1"/>
        <c:lblAlgn val="ctr"/>
        <c:lblOffset val="100"/>
        <c:noMultiLvlLbl val="0"/>
      </c:catAx>
      <c:valAx>
        <c:axId val="182456326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8094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Auxiliar!$E$40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rgbClr val="7A7A7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A7A7A"/>
              </a:solidFill>
              <a:ln w="9525">
                <a:solidFill>
                  <a:srgbClr val="7A7A7A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Auxiliar!$E$41:$E$52</c:f>
              <c:numCache>
                <c:formatCode>#,##0.00</c:formatCode>
                <c:ptCount val="12"/>
                <c:pt idx="2">
                  <c:v>106553.52</c:v>
                </c:pt>
                <c:pt idx="3">
                  <c:v>105966.96</c:v>
                </c:pt>
                <c:pt idx="4">
                  <c:v>67242.14</c:v>
                </c:pt>
                <c:pt idx="5">
                  <c:v>99881.73</c:v>
                </c:pt>
                <c:pt idx="6">
                  <c:v>98148.26</c:v>
                </c:pt>
                <c:pt idx="7">
                  <c:v>103222.03</c:v>
                </c:pt>
                <c:pt idx="8">
                  <c:v>135769.20000000001</c:v>
                </c:pt>
                <c:pt idx="9">
                  <c:v>176611.14</c:v>
                </c:pt>
                <c:pt idx="10">
                  <c:v>121822.37</c:v>
                </c:pt>
                <c:pt idx="11">
                  <c:v>141264.91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41-4A65-9200-0A1F67F46545}"/>
            </c:ext>
          </c:extLst>
        </c:ser>
        <c:ser>
          <c:idx val="1"/>
          <c:order val="1"/>
          <c:tx>
            <c:strRef>
              <c:f>Auxiliar!$F$40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Auxiliar!$F$41:$F$52</c:f>
              <c:numCache>
                <c:formatCode>#,##0.00</c:formatCode>
                <c:ptCount val="12"/>
                <c:pt idx="0">
                  <c:v>118377.27</c:v>
                </c:pt>
                <c:pt idx="1">
                  <c:v>139519.45000000001</c:v>
                </c:pt>
                <c:pt idx="2">
                  <c:v>166608.10999999999</c:v>
                </c:pt>
                <c:pt idx="3">
                  <c:v>157848.98000000001</c:v>
                </c:pt>
                <c:pt idx="4">
                  <c:v>195059.11</c:v>
                </c:pt>
                <c:pt idx="5">
                  <c:v>203365.73</c:v>
                </c:pt>
                <c:pt idx="6">
                  <c:v>212912.95</c:v>
                </c:pt>
                <c:pt idx="7">
                  <c:v>194259.08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41-4A65-9200-0A1F67F4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80944"/>
        <c:axId val="1824563264"/>
      </c:lineChart>
      <c:catAx>
        <c:axId val="808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3264"/>
        <c:crosses val="autoZero"/>
        <c:auto val="1"/>
        <c:lblAlgn val="ctr"/>
        <c:lblOffset val="100"/>
        <c:noMultiLvlLbl val="0"/>
      </c:catAx>
      <c:valAx>
        <c:axId val="182456326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8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'Base de Dados Original'!$I$5</c:f>
              <c:strCache>
                <c:ptCount val="1"/>
                <c:pt idx="0">
                  <c:v>2025   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 de Dados Original'!$H$6:$H$17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Dados Original'!$I$6:$I$17</c:f>
              <c:numCache>
                <c:formatCode>#,##0.00</c:formatCode>
                <c:ptCount val="12"/>
                <c:pt idx="4">
                  <c:v>55217.17</c:v>
                </c:pt>
                <c:pt idx="5">
                  <c:v>36103.99</c:v>
                </c:pt>
                <c:pt idx="6">
                  <c:v>91668.84</c:v>
                </c:pt>
                <c:pt idx="7">
                  <c:v>2295.8200000000002</c:v>
                </c:pt>
                <c:pt idx="8">
                  <c:v>195.71</c:v>
                </c:pt>
                <c:pt idx="9">
                  <c:v>54486.65</c:v>
                </c:pt>
                <c:pt idx="10">
                  <c:v>16065.01</c:v>
                </c:pt>
                <c:pt idx="11">
                  <c:v>1935.31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0A3-4A04-9428-79A4D2AF7BD5}"/>
            </c:ext>
          </c:extLst>
        </c:ser>
        <c:ser>
          <c:idx val="1"/>
          <c:order val="1"/>
          <c:tx>
            <c:strRef>
              <c:f>'Base de Dados Original'!$J$5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'Base de Dados Original'!$H$6:$H$17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Dados Original'!$J$6:$J$17</c:f>
              <c:numCache>
                <c:formatCode>#,##0.00</c:formatCode>
                <c:ptCount val="12"/>
                <c:pt idx="0">
                  <c:v>0</c:v>
                </c:pt>
                <c:pt idx="1">
                  <c:v>52895.6</c:v>
                </c:pt>
                <c:pt idx="2">
                  <c:v>73198.27</c:v>
                </c:pt>
                <c:pt idx="3">
                  <c:v>92392.2</c:v>
                </c:pt>
                <c:pt idx="4">
                  <c:v>85426.75</c:v>
                </c:pt>
                <c:pt idx="5">
                  <c:v>59008.98</c:v>
                </c:pt>
                <c:pt idx="6">
                  <c:v>107075.8</c:v>
                </c:pt>
                <c:pt idx="7">
                  <c:v>112007.19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0A3-4A04-9428-79A4D2AF7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4625872"/>
        <c:axId val="1824567104"/>
      </c:lineChart>
      <c:catAx>
        <c:axId val="136462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7104"/>
        <c:crosses val="autoZero"/>
        <c:auto val="1"/>
        <c:lblAlgn val="ctr"/>
        <c:lblOffset val="100"/>
        <c:noMultiLvlLbl val="0"/>
      </c:catAx>
      <c:valAx>
        <c:axId val="1824567104"/>
        <c:scaling>
          <c:orientation val="minMax"/>
          <c:min val="0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6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'Base de Dados Original'!$I$23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 de Dados Original'!$H$24:$H$35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Dados Original'!$I$24:$I$35</c:f>
              <c:numCache>
                <c:formatCode>#,##0.00</c:formatCode>
                <c:ptCount val="12"/>
                <c:pt idx="2">
                  <c:v>59367.6</c:v>
                </c:pt>
                <c:pt idx="3">
                  <c:v>34257.360000000001</c:v>
                </c:pt>
                <c:pt idx="4">
                  <c:v>8633.5400000000009</c:v>
                </c:pt>
                <c:pt idx="5">
                  <c:v>86867.68</c:v>
                </c:pt>
                <c:pt idx="6">
                  <c:v>52410.15</c:v>
                </c:pt>
                <c:pt idx="7">
                  <c:v>13599.8</c:v>
                </c:pt>
                <c:pt idx="8">
                  <c:v>54017.73</c:v>
                </c:pt>
                <c:pt idx="9">
                  <c:v>28863.25</c:v>
                </c:pt>
                <c:pt idx="10">
                  <c:v>26076.77</c:v>
                </c:pt>
                <c:pt idx="11">
                  <c:v>60817.51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70-4023-B32E-E32E6CC0AA2F}"/>
            </c:ext>
          </c:extLst>
        </c:ser>
        <c:ser>
          <c:idx val="1"/>
          <c:order val="1"/>
          <c:tx>
            <c:strRef>
              <c:f>'Base de Dados Original'!$J$23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'Base de Dados Original'!$H$24:$H$35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Dados Original'!$J$24:$J$35</c:f>
              <c:numCache>
                <c:formatCode>#,##0.00</c:formatCode>
                <c:ptCount val="12"/>
                <c:pt idx="0">
                  <c:v>50004.639999999999</c:v>
                </c:pt>
                <c:pt idx="1">
                  <c:v>49523.67</c:v>
                </c:pt>
                <c:pt idx="2">
                  <c:v>70278.929999999993</c:v>
                </c:pt>
                <c:pt idx="3">
                  <c:v>70985.3</c:v>
                </c:pt>
                <c:pt idx="4">
                  <c:v>41187.379999999997</c:v>
                </c:pt>
                <c:pt idx="5">
                  <c:v>35993.910000000003</c:v>
                </c:pt>
                <c:pt idx="6">
                  <c:v>10553.25</c:v>
                </c:pt>
                <c:pt idx="7">
                  <c:v>7185.43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70-4023-B32E-E32E6CC0A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4400"/>
        <c:axId val="1824603584"/>
      </c:lineChart>
      <c:catAx>
        <c:axId val="19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603584"/>
        <c:crosses val="autoZero"/>
        <c:auto val="1"/>
        <c:lblAlgn val="ctr"/>
        <c:lblOffset val="100"/>
        <c:noMultiLvlLbl val="0"/>
      </c:catAx>
      <c:valAx>
        <c:axId val="182460358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5440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'Base de Dados Original'!$I$41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 de Dados Original'!$H$42:$H$53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Dados Original'!$I$42:$I$53</c:f>
              <c:numCache>
                <c:formatCode>#,##0.00</c:formatCode>
                <c:ptCount val="12"/>
                <c:pt idx="2">
                  <c:v>106553.52</c:v>
                </c:pt>
                <c:pt idx="3">
                  <c:v>105966.96</c:v>
                </c:pt>
                <c:pt idx="4">
                  <c:v>67242.14</c:v>
                </c:pt>
                <c:pt idx="5">
                  <c:v>99881.73</c:v>
                </c:pt>
                <c:pt idx="6">
                  <c:v>98148.26</c:v>
                </c:pt>
                <c:pt idx="7">
                  <c:v>103222.03</c:v>
                </c:pt>
                <c:pt idx="8">
                  <c:v>135769.20000000001</c:v>
                </c:pt>
                <c:pt idx="9">
                  <c:v>176611.14</c:v>
                </c:pt>
                <c:pt idx="10">
                  <c:v>121822.37</c:v>
                </c:pt>
                <c:pt idx="11">
                  <c:v>141264.91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E8-41D0-88E8-FB10BAAE7E0E}"/>
            </c:ext>
          </c:extLst>
        </c:ser>
        <c:ser>
          <c:idx val="1"/>
          <c:order val="1"/>
          <c:tx>
            <c:strRef>
              <c:f>'Base de Dados Original'!$J$41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'Base de Dados Original'!$H$42:$H$53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'Base de Dados Original'!$J$42:$J$53</c:f>
              <c:numCache>
                <c:formatCode>#,##0.00</c:formatCode>
                <c:ptCount val="12"/>
                <c:pt idx="0">
                  <c:v>118377.27</c:v>
                </c:pt>
                <c:pt idx="1">
                  <c:v>139519.45000000001</c:v>
                </c:pt>
                <c:pt idx="2">
                  <c:v>166608.10999999999</c:v>
                </c:pt>
                <c:pt idx="3">
                  <c:v>157848.98000000001</c:v>
                </c:pt>
                <c:pt idx="4">
                  <c:v>195059.11</c:v>
                </c:pt>
                <c:pt idx="5">
                  <c:v>203365.73</c:v>
                </c:pt>
                <c:pt idx="6">
                  <c:v>212912.95</c:v>
                </c:pt>
                <c:pt idx="7">
                  <c:v>194259.08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E8-41D0-88E8-FB10BAAE7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99440"/>
        <c:axId val="1824578144"/>
      </c:lineChart>
      <c:catAx>
        <c:axId val="436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78144"/>
        <c:crosses val="autoZero"/>
        <c:auto val="1"/>
        <c:lblAlgn val="ctr"/>
        <c:lblOffset val="100"/>
        <c:noMultiLvlLbl val="0"/>
      </c:catAx>
      <c:valAx>
        <c:axId val="182457814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Base_Dashborad!$I$5</c:f>
              <c:strCache>
                <c:ptCount val="1"/>
                <c:pt idx="0">
                  <c:v>2025   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Base_Dashborad!$H$6:$H$17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Base_Dashborad!$I$6:$I$17</c:f>
              <c:numCache>
                <c:formatCode>#,##0.00</c:formatCode>
                <c:ptCount val="12"/>
                <c:pt idx="4">
                  <c:v>55217.17</c:v>
                </c:pt>
                <c:pt idx="5">
                  <c:v>36103.99</c:v>
                </c:pt>
                <c:pt idx="6">
                  <c:v>91668.84</c:v>
                </c:pt>
                <c:pt idx="7">
                  <c:v>2295.8200000000002</c:v>
                </c:pt>
                <c:pt idx="8">
                  <c:v>195.71</c:v>
                </c:pt>
                <c:pt idx="9">
                  <c:v>54486.65</c:v>
                </c:pt>
                <c:pt idx="10">
                  <c:v>16065.01</c:v>
                </c:pt>
                <c:pt idx="11">
                  <c:v>1935.31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3C-4F08-870F-790EF8E5B4CF}"/>
            </c:ext>
          </c:extLst>
        </c:ser>
        <c:ser>
          <c:idx val="1"/>
          <c:order val="1"/>
          <c:tx>
            <c:strRef>
              <c:f>Base_Dashborad!$J$5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Base_Dashborad!$H$6:$H$17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Base_Dashborad!$J$6:$J$17</c:f>
              <c:numCache>
                <c:formatCode>#,##0.00</c:formatCode>
                <c:ptCount val="12"/>
                <c:pt idx="0">
                  <c:v>0</c:v>
                </c:pt>
                <c:pt idx="1">
                  <c:v>52895.6</c:v>
                </c:pt>
                <c:pt idx="2">
                  <c:v>73198.27</c:v>
                </c:pt>
                <c:pt idx="3">
                  <c:v>92392.2</c:v>
                </c:pt>
                <c:pt idx="4">
                  <c:v>85426.75</c:v>
                </c:pt>
                <c:pt idx="5">
                  <c:v>59008.98</c:v>
                </c:pt>
                <c:pt idx="6">
                  <c:v>107075.8</c:v>
                </c:pt>
                <c:pt idx="7">
                  <c:v>112007.19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83C-4F08-870F-790EF8E5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4625872"/>
        <c:axId val="1824567104"/>
      </c:lineChart>
      <c:catAx>
        <c:axId val="136462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7104"/>
        <c:crosses val="autoZero"/>
        <c:auto val="1"/>
        <c:lblAlgn val="ctr"/>
        <c:lblOffset val="100"/>
        <c:noMultiLvlLbl val="0"/>
      </c:catAx>
      <c:valAx>
        <c:axId val="1824567104"/>
        <c:scaling>
          <c:orientation val="minMax"/>
          <c:min val="0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46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Base_Dashborad!$I$23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Base_Dashborad!$H$24:$H$35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Base_Dashborad!$I$24:$I$35</c:f>
              <c:numCache>
                <c:formatCode>#,##0.00</c:formatCode>
                <c:ptCount val="12"/>
                <c:pt idx="2">
                  <c:v>59367.6</c:v>
                </c:pt>
                <c:pt idx="3">
                  <c:v>34257.360000000001</c:v>
                </c:pt>
                <c:pt idx="4">
                  <c:v>8633.5400000000009</c:v>
                </c:pt>
                <c:pt idx="5">
                  <c:v>86867.68</c:v>
                </c:pt>
                <c:pt idx="6">
                  <c:v>52410.15</c:v>
                </c:pt>
                <c:pt idx="7">
                  <c:v>13599.8</c:v>
                </c:pt>
                <c:pt idx="8">
                  <c:v>54017.73</c:v>
                </c:pt>
                <c:pt idx="9">
                  <c:v>28863.25</c:v>
                </c:pt>
                <c:pt idx="10">
                  <c:v>26076.77</c:v>
                </c:pt>
                <c:pt idx="11">
                  <c:v>60817.51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32-4693-9A55-A4253808903F}"/>
            </c:ext>
          </c:extLst>
        </c:ser>
        <c:ser>
          <c:idx val="1"/>
          <c:order val="1"/>
          <c:tx>
            <c:strRef>
              <c:f>Base_Dashborad!$J$23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Base_Dashborad!$H$24:$H$35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Base_Dashborad!$J$24:$J$35</c:f>
              <c:numCache>
                <c:formatCode>#,##0.00</c:formatCode>
                <c:ptCount val="12"/>
                <c:pt idx="0">
                  <c:v>50004.639999999999</c:v>
                </c:pt>
                <c:pt idx="1">
                  <c:v>49523.67</c:v>
                </c:pt>
                <c:pt idx="2">
                  <c:v>70278.929999999993</c:v>
                </c:pt>
                <c:pt idx="3">
                  <c:v>70985.3</c:v>
                </c:pt>
                <c:pt idx="4">
                  <c:v>41187.379999999997</c:v>
                </c:pt>
                <c:pt idx="5">
                  <c:v>35993.910000000003</c:v>
                </c:pt>
                <c:pt idx="6">
                  <c:v>10553.25</c:v>
                </c:pt>
                <c:pt idx="7">
                  <c:v>7185.43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432-4693-9A55-A42538089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4400"/>
        <c:axId val="1824603584"/>
      </c:lineChart>
      <c:catAx>
        <c:axId val="1965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603584"/>
        <c:crosses val="autoZero"/>
        <c:auto val="1"/>
        <c:lblAlgn val="ctr"/>
        <c:lblOffset val="100"/>
        <c:noMultiLvlLbl val="0"/>
      </c:catAx>
      <c:valAx>
        <c:axId val="182460358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54400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Base_Dashborad!$I$41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Base_Dashborad!$H$42:$H$53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Base_Dashborad!$I$42:$I$53</c:f>
              <c:numCache>
                <c:formatCode>#,##0.00</c:formatCode>
                <c:ptCount val="12"/>
                <c:pt idx="2">
                  <c:v>106553.52</c:v>
                </c:pt>
                <c:pt idx="3">
                  <c:v>105966.96</c:v>
                </c:pt>
                <c:pt idx="4">
                  <c:v>67242.14</c:v>
                </c:pt>
                <c:pt idx="5">
                  <c:v>99881.73</c:v>
                </c:pt>
                <c:pt idx="6">
                  <c:v>98148.26</c:v>
                </c:pt>
                <c:pt idx="7">
                  <c:v>103222.03</c:v>
                </c:pt>
                <c:pt idx="8">
                  <c:v>135769.20000000001</c:v>
                </c:pt>
                <c:pt idx="9">
                  <c:v>176611.14</c:v>
                </c:pt>
                <c:pt idx="10">
                  <c:v>121822.37</c:v>
                </c:pt>
                <c:pt idx="11">
                  <c:v>141264.91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EE-4372-836B-C9E5857F212A}"/>
            </c:ext>
          </c:extLst>
        </c:ser>
        <c:ser>
          <c:idx val="1"/>
          <c:order val="1"/>
          <c:tx>
            <c:strRef>
              <c:f>Base_Dashborad!$J$41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Base_Dashborad!$H$42:$H$53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Base_Dashborad!$J$42:$J$53</c:f>
              <c:numCache>
                <c:formatCode>#,##0.00</c:formatCode>
                <c:ptCount val="12"/>
                <c:pt idx="0">
                  <c:v>118377.27</c:v>
                </c:pt>
                <c:pt idx="1">
                  <c:v>139519.45000000001</c:v>
                </c:pt>
                <c:pt idx="2">
                  <c:v>166608.10999999999</c:v>
                </c:pt>
                <c:pt idx="3">
                  <c:v>157848.98000000001</c:v>
                </c:pt>
                <c:pt idx="4">
                  <c:v>195059.11</c:v>
                </c:pt>
                <c:pt idx="5">
                  <c:v>203365.73</c:v>
                </c:pt>
                <c:pt idx="6">
                  <c:v>212912.95</c:v>
                </c:pt>
                <c:pt idx="7">
                  <c:v>194259.08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EE-4372-836B-C9E5857F2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99440"/>
        <c:axId val="1824578144"/>
      </c:lineChart>
      <c:catAx>
        <c:axId val="4369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78144"/>
        <c:crosses val="autoZero"/>
        <c:auto val="1"/>
        <c:lblAlgn val="ctr"/>
        <c:lblOffset val="100"/>
        <c:noMultiLvlLbl val="0"/>
      </c:catAx>
      <c:valAx>
        <c:axId val="182457814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9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Auxiliar!$E$5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rgbClr val="7A7A7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A7A7A"/>
              </a:solidFill>
              <a:ln w="9525">
                <a:solidFill>
                  <a:srgbClr val="7A7A7A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Auxiliar!$E$6:$E$17</c:f>
              <c:numCache>
                <c:formatCode>#,##0.00</c:formatCode>
                <c:ptCount val="12"/>
                <c:pt idx="4">
                  <c:v>55217.17</c:v>
                </c:pt>
                <c:pt idx="5">
                  <c:v>36103.99</c:v>
                </c:pt>
                <c:pt idx="6">
                  <c:v>91668.84</c:v>
                </c:pt>
                <c:pt idx="7">
                  <c:v>2295.8200000000002</c:v>
                </c:pt>
                <c:pt idx="8">
                  <c:v>195.71</c:v>
                </c:pt>
                <c:pt idx="9">
                  <c:v>54486.65</c:v>
                </c:pt>
                <c:pt idx="10">
                  <c:v>16065.01</c:v>
                </c:pt>
                <c:pt idx="11">
                  <c:v>1935.31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FD-4C35-AE22-9ADFFACC2F07}"/>
            </c:ext>
          </c:extLst>
        </c:ser>
        <c:ser>
          <c:idx val="1"/>
          <c:order val="1"/>
          <c:tx>
            <c:strRef>
              <c:f>Auxiliar!$F$5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Auxiliar!$F$6:$F$17</c:f>
              <c:numCache>
                <c:formatCode>#,##0.00</c:formatCode>
                <c:ptCount val="12"/>
                <c:pt idx="0">
                  <c:v>0</c:v>
                </c:pt>
                <c:pt idx="1">
                  <c:v>52895.6</c:v>
                </c:pt>
                <c:pt idx="2">
                  <c:v>73198.27</c:v>
                </c:pt>
                <c:pt idx="3">
                  <c:v>92392.2</c:v>
                </c:pt>
                <c:pt idx="4">
                  <c:v>85426.75</c:v>
                </c:pt>
                <c:pt idx="5">
                  <c:v>59008.98</c:v>
                </c:pt>
                <c:pt idx="6">
                  <c:v>107075.8</c:v>
                </c:pt>
                <c:pt idx="7">
                  <c:v>112007.19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1FD-4C35-AE22-9ADFFACC2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80944"/>
        <c:axId val="1824563264"/>
      </c:lineChart>
      <c:catAx>
        <c:axId val="808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3264"/>
        <c:crosses val="autoZero"/>
        <c:auto val="1"/>
        <c:lblAlgn val="ctr"/>
        <c:lblOffset val="100"/>
        <c:noMultiLvlLbl val="0"/>
      </c:catAx>
      <c:valAx>
        <c:axId val="182456326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8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Auxiliar!$E$22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rgbClr val="7A7A7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A7A7A"/>
              </a:solidFill>
              <a:ln w="9525">
                <a:solidFill>
                  <a:srgbClr val="7A7A7A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Auxiliar!$E$23:$E$34</c:f>
              <c:numCache>
                <c:formatCode>#,##0.00</c:formatCode>
                <c:ptCount val="12"/>
                <c:pt idx="2">
                  <c:v>59367.6</c:v>
                </c:pt>
                <c:pt idx="3">
                  <c:v>34257.360000000001</c:v>
                </c:pt>
                <c:pt idx="4">
                  <c:v>8633.5400000000009</c:v>
                </c:pt>
                <c:pt idx="5">
                  <c:v>86867.68</c:v>
                </c:pt>
                <c:pt idx="6">
                  <c:v>52410.15</c:v>
                </c:pt>
                <c:pt idx="7">
                  <c:v>13599.8</c:v>
                </c:pt>
                <c:pt idx="8">
                  <c:v>54017.73</c:v>
                </c:pt>
                <c:pt idx="9">
                  <c:v>28863.25</c:v>
                </c:pt>
                <c:pt idx="10">
                  <c:v>26076.77</c:v>
                </c:pt>
                <c:pt idx="11">
                  <c:v>60817.51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F3-4F53-9D2E-C66E8B5A15DB}"/>
            </c:ext>
          </c:extLst>
        </c:ser>
        <c:ser>
          <c:idx val="1"/>
          <c:order val="1"/>
          <c:tx>
            <c:strRef>
              <c:f>Auxiliar!$F$22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Auxiliar!$F$23:$F$34</c:f>
              <c:numCache>
                <c:formatCode>#,##0.00</c:formatCode>
                <c:ptCount val="12"/>
                <c:pt idx="0">
                  <c:v>50004.639999999999</c:v>
                </c:pt>
                <c:pt idx="1">
                  <c:v>49523.67</c:v>
                </c:pt>
                <c:pt idx="2">
                  <c:v>70278.929999999993</c:v>
                </c:pt>
                <c:pt idx="3">
                  <c:v>70985.3</c:v>
                </c:pt>
                <c:pt idx="4">
                  <c:v>41187.379999999997</c:v>
                </c:pt>
                <c:pt idx="5">
                  <c:v>35993.910000000003</c:v>
                </c:pt>
                <c:pt idx="6">
                  <c:v>10553.25</c:v>
                </c:pt>
                <c:pt idx="7">
                  <c:v>7185.43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F3-4F53-9D2E-C66E8B5A1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80944"/>
        <c:axId val="1824563264"/>
      </c:lineChart>
      <c:catAx>
        <c:axId val="808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3264"/>
        <c:crosses val="autoZero"/>
        <c:auto val="1"/>
        <c:lblAlgn val="ctr"/>
        <c:lblOffset val="100"/>
        <c:noMultiLvlLbl val="0"/>
      </c:catAx>
      <c:valAx>
        <c:axId val="182456326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8094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Auxiliar!$E$40</c:f>
              <c:strCache>
                <c:ptCount val="1"/>
                <c:pt idx="0">
                  <c:v>2025    </c:v>
                </c:pt>
              </c:strCache>
            </c:strRef>
          </c:tx>
          <c:spPr>
            <a:ln w="28575" cap="rnd">
              <a:solidFill>
                <a:srgbClr val="7A7A7A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A7A7A"/>
              </a:solidFill>
              <a:ln w="9525">
                <a:solidFill>
                  <a:srgbClr val="7A7A7A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Auxiliar!$E$41:$E$52</c:f>
              <c:numCache>
                <c:formatCode>#,##0.00</c:formatCode>
                <c:ptCount val="12"/>
                <c:pt idx="2">
                  <c:v>106553.52</c:v>
                </c:pt>
                <c:pt idx="3">
                  <c:v>105966.96</c:v>
                </c:pt>
                <c:pt idx="4">
                  <c:v>67242.14</c:v>
                </c:pt>
                <c:pt idx="5">
                  <c:v>99881.73</c:v>
                </c:pt>
                <c:pt idx="6">
                  <c:v>98148.26</c:v>
                </c:pt>
                <c:pt idx="7">
                  <c:v>103222.03</c:v>
                </c:pt>
                <c:pt idx="8">
                  <c:v>135769.20000000001</c:v>
                </c:pt>
                <c:pt idx="9">
                  <c:v>176611.14</c:v>
                </c:pt>
                <c:pt idx="10">
                  <c:v>121822.37</c:v>
                </c:pt>
                <c:pt idx="11">
                  <c:v>141264.91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E5-4C19-AE93-27BB43C0F809}"/>
            </c:ext>
          </c:extLst>
        </c:ser>
        <c:ser>
          <c:idx val="1"/>
          <c:order val="1"/>
          <c:tx>
            <c:strRef>
              <c:f>Auxiliar!$F$40</c:f>
              <c:strCache>
                <c:ptCount val="1"/>
                <c:pt idx="0">
                  <c:v>2026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Auxiliar!$D$6:$D$17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Auxiliar!$F$41:$F$52</c:f>
              <c:numCache>
                <c:formatCode>#,##0.00</c:formatCode>
                <c:ptCount val="12"/>
                <c:pt idx="0">
                  <c:v>118377.27</c:v>
                </c:pt>
                <c:pt idx="1">
                  <c:v>139519.45000000001</c:v>
                </c:pt>
                <c:pt idx="2">
                  <c:v>166608.10999999999</c:v>
                </c:pt>
                <c:pt idx="3">
                  <c:v>157848.98000000001</c:v>
                </c:pt>
                <c:pt idx="4">
                  <c:v>195059.11</c:v>
                </c:pt>
                <c:pt idx="5">
                  <c:v>203365.73</c:v>
                </c:pt>
                <c:pt idx="6">
                  <c:v>212912.95</c:v>
                </c:pt>
                <c:pt idx="7">
                  <c:v>194259.08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E5-4C19-AE93-27BB43C0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880944"/>
        <c:axId val="1824563264"/>
      </c:lineChart>
      <c:catAx>
        <c:axId val="8088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4563264"/>
        <c:crosses val="autoZero"/>
        <c:auto val="1"/>
        <c:lblAlgn val="ctr"/>
        <c:lblOffset val="100"/>
        <c:noMultiLvlLbl val="0"/>
      </c:catAx>
      <c:valAx>
        <c:axId val="1824563264"/>
        <c:scaling>
          <c:orientation val="minMax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8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.xml"/><Relationship Id="rId7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0</xdr:rowOff>
    </xdr:from>
    <xdr:to>
      <xdr:col>36</xdr:col>
      <xdr:colOff>176893</xdr:colOff>
      <xdr:row>40</xdr:row>
      <xdr:rowOff>13607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53FA4A3-E9FC-908E-F79E-C52F8B522F76}"/>
            </a:ext>
          </a:extLst>
        </xdr:cNvPr>
        <xdr:cNvSpPr/>
      </xdr:nvSpPr>
      <xdr:spPr>
        <a:xfrm>
          <a:off x="27214" y="952500"/>
          <a:ext cx="22383750" cy="763360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40821</xdr:colOff>
      <xdr:row>0</xdr:row>
      <xdr:rowOff>0</xdr:rowOff>
    </xdr:from>
    <xdr:to>
      <xdr:col>36</xdr:col>
      <xdr:colOff>394608</xdr:colOff>
      <xdr:row>45</xdr:row>
      <xdr:rowOff>163286</xdr:rowOff>
    </xdr:to>
    <xdr:sp macro="" textlink="">
      <xdr:nvSpPr>
        <xdr:cNvPr id="56" name="Retângulo 55">
          <a:extLst>
            <a:ext uri="{FF2B5EF4-FFF2-40B4-BE49-F238E27FC236}">
              <a16:creationId xmlns:a16="http://schemas.microsoft.com/office/drawing/2014/main" id="{84D8BE34-BC61-5165-6F96-2B8EBDB59322}"/>
            </a:ext>
          </a:extLst>
        </xdr:cNvPr>
        <xdr:cNvSpPr/>
      </xdr:nvSpPr>
      <xdr:spPr>
        <a:xfrm>
          <a:off x="40821" y="40821"/>
          <a:ext cx="22587858" cy="96474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31</xdr:col>
      <xdr:colOff>452696</xdr:colOff>
      <xdr:row>1</xdr:row>
      <xdr:rowOff>106620</xdr:rowOff>
    </xdr:from>
    <xdr:to>
      <xdr:col>34</xdr:col>
      <xdr:colOff>612321</xdr:colOff>
      <xdr:row>5</xdr:row>
      <xdr:rowOff>163286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E3C729BC-6934-A88B-9F6B-6823F9C431CF}"/>
            </a:ext>
          </a:extLst>
        </xdr:cNvPr>
        <xdr:cNvGrpSpPr/>
      </xdr:nvGrpSpPr>
      <xdr:grpSpPr>
        <a:xfrm>
          <a:off x="19350296" y="286729"/>
          <a:ext cx="1988425" cy="777102"/>
          <a:chOff x="6885432" y="2531268"/>
          <a:chExt cx="1677256" cy="632205"/>
        </a:xfrm>
      </xdr:grpSpPr>
      <xdr:cxnSp macro="">
        <xdr:nvCxnSpPr>
          <xdr:cNvPr id="7" name="Conector reto 6">
            <a:extLst>
              <a:ext uri="{FF2B5EF4-FFF2-40B4-BE49-F238E27FC236}">
                <a16:creationId xmlns:a16="http://schemas.microsoft.com/office/drawing/2014/main" id="{A8A58C14-169B-83E6-8B1B-1A9D00B436C6}"/>
              </a:ext>
            </a:extLst>
          </xdr:cNvPr>
          <xdr:cNvCxnSpPr>
            <a:cxnSpLocks/>
          </xdr:cNvCxnSpPr>
        </xdr:nvCxnSpPr>
        <xdr:spPr>
          <a:xfrm flipH="1" flipV="1">
            <a:off x="8259604" y="2788920"/>
            <a:ext cx="303084" cy="374553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Conector reto 7">
            <a:extLst>
              <a:ext uri="{FF2B5EF4-FFF2-40B4-BE49-F238E27FC236}">
                <a16:creationId xmlns:a16="http://schemas.microsoft.com/office/drawing/2014/main" id="{272C5FD4-B07C-98A4-556F-E2784B047D47}"/>
              </a:ext>
            </a:extLst>
          </xdr:cNvPr>
          <xdr:cNvCxnSpPr>
            <a:cxnSpLocks/>
          </xdr:cNvCxnSpPr>
        </xdr:nvCxnSpPr>
        <xdr:spPr>
          <a:xfrm flipH="1">
            <a:off x="7469981" y="2788920"/>
            <a:ext cx="792957" cy="0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770A87BF-EF44-394C-8120-8D8E5AB25B41}"/>
              </a:ext>
            </a:extLst>
          </xdr:cNvPr>
          <xdr:cNvCxnSpPr>
            <a:cxnSpLocks/>
          </xdr:cNvCxnSpPr>
        </xdr:nvCxnSpPr>
        <xdr:spPr>
          <a:xfrm flipH="1" flipV="1">
            <a:off x="7293769" y="2531269"/>
            <a:ext cx="176212" cy="257651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2EC4111B-4BE1-E695-DAD9-373A2A2DF290}"/>
              </a:ext>
            </a:extLst>
          </xdr:cNvPr>
          <xdr:cNvCxnSpPr>
            <a:cxnSpLocks/>
          </xdr:cNvCxnSpPr>
        </xdr:nvCxnSpPr>
        <xdr:spPr>
          <a:xfrm>
            <a:off x="6885432" y="2531268"/>
            <a:ext cx="408337" cy="1"/>
          </a:xfrm>
          <a:prstGeom prst="line">
            <a:avLst/>
          </a:prstGeom>
          <a:ln w="6350">
            <a:solidFill>
              <a:schemeClr val="bg2">
                <a:lumMod val="25000"/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1007743A-542B-5AED-D564-0307DCF6484A}"/>
              </a:ext>
            </a:extLst>
          </xdr:cNvPr>
          <xdr:cNvCxnSpPr>
            <a:cxnSpLocks/>
          </xdr:cNvCxnSpPr>
        </xdr:nvCxnSpPr>
        <xdr:spPr>
          <a:xfrm flipH="1" flipV="1">
            <a:off x="7786640" y="2660094"/>
            <a:ext cx="303084" cy="451961"/>
          </a:xfrm>
          <a:prstGeom prst="line">
            <a:avLst/>
          </a:prstGeom>
          <a:ln w="6350">
            <a:solidFill>
              <a:schemeClr val="accent2">
                <a:alpha val="69000"/>
              </a:schemeClr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302265</xdr:colOff>
      <xdr:row>0</xdr:row>
      <xdr:rowOff>110114</xdr:rowOff>
    </xdr:from>
    <xdr:to>
      <xdr:col>14</xdr:col>
      <xdr:colOff>203205</xdr:colOff>
      <xdr:row>5</xdr:row>
      <xdr:rowOff>1307</xdr:rowOff>
    </xdr:to>
    <xdr:sp macro="" textlink="">
      <xdr:nvSpPr>
        <xdr:cNvPr id="6" name="CaixaDeTexto 27">
          <a:extLst>
            <a:ext uri="{FF2B5EF4-FFF2-40B4-BE49-F238E27FC236}">
              <a16:creationId xmlns:a16="http://schemas.microsoft.com/office/drawing/2014/main" id="{C454290C-04F7-0152-5BEC-8C948F808B97}"/>
            </a:ext>
          </a:extLst>
        </xdr:cNvPr>
        <xdr:cNvSpPr txBox="1"/>
      </xdr:nvSpPr>
      <xdr:spPr>
        <a:xfrm>
          <a:off x="2139229" y="1062614"/>
          <a:ext cx="6636476" cy="84369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200000"/>
            </a:lnSpc>
          </a:pPr>
          <a:r>
            <a:rPr lang="pt-BR" sz="1800" b="1">
              <a:solidFill>
                <a:schemeClr val="bg2">
                  <a:lumMod val="25000"/>
                </a:schemeClr>
              </a:solidFill>
            </a:rPr>
            <a:t>CONTROLE DE VOLUME TRATADO</a:t>
          </a:r>
        </a:p>
        <a:p>
          <a:r>
            <a:rPr lang="pt-BR" sz="1200" b="1">
              <a:solidFill>
                <a:schemeClr val="accent2"/>
              </a:solidFill>
            </a:rPr>
            <a:t>COMPARATIVO</a:t>
          </a:r>
          <a:r>
            <a:rPr lang="pt-BR" sz="1200" b="1" baseline="0">
              <a:solidFill>
                <a:schemeClr val="accent2"/>
              </a:solidFill>
            </a:rPr>
            <a:t> ANUAL - 2025 x 2026</a:t>
          </a:r>
          <a:endParaRPr lang="pt-BR" sz="12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14</xdr:col>
      <xdr:colOff>397093</xdr:colOff>
      <xdr:row>2</xdr:row>
      <xdr:rowOff>80625</xdr:rowOff>
    </xdr:from>
    <xdr:to>
      <xdr:col>20</xdr:col>
      <xdr:colOff>226299</xdr:colOff>
      <xdr:row>8</xdr:row>
      <xdr:rowOff>171451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451D7BF1-EF20-480B-824F-AB9A76838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87083</xdr:colOff>
      <xdr:row>36</xdr:row>
      <xdr:rowOff>81473</xdr:rowOff>
    </xdr:from>
    <xdr:to>
      <xdr:col>35</xdr:col>
      <xdr:colOff>557892</xdr:colOff>
      <xdr:row>38</xdr:row>
      <xdr:rowOff>51705</xdr:rowOff>
    </xdr:to>
    <xdr:grpSp>
      <xdr:nvGrpSpPr>
        <xdr:cNvPr id="155" name="Agrupar 154">
          <a:extLst>
            <a:ext uri="{FF2B5EF4-FFF2-40B4-BE49-F238E27FC236}">
              <a16:creationId xmlns:a16="http://schemas.microsoft.com/office/drawing/2014/main" id="{50561B01-965E-EE18-F21F-D5F0294465F3}"/>
            </a:ext>
          </a:extLst>
        </xdr:cNvPr>
        <xdr:cNvGrpSpPr/>
      </xdr:nvGrpSpPr>
      <xdr:grpSpPr>
        <a:xfrm>
          <a:off x="87083" y="6565400"/>
          <a:ext cx="22014627" cy="330450"/>
          <a:chOff x="114297" y="9021368"/>
          <a:chExt cx="22092559" cy="351232"/>
        </a:xfrm>
      </xdr:grpSpPr>
      <xdr:sp macro="" textlink="">
        <xdr:nvSpPr>
          <xdr:cNvPr id="90" name="Retângulo: Cantos Arredondados 89">
            <a:extLst>
              <a:ext uri="{FF2B5EF4-FFF2-40B4-BE49-F238E27FC236}">
                <a16:creationId xmlns:a16="http://schemas.microsoft.com/office/drawing/2014/main" id="{4609AA2A-6772-4A06-B7C4-85540C904546}"/>
              </a:ext>
            </a:extLst>
          </xdr:cNvPr>
          <xdr:cNvSpPr/>
        </xdr:nvSpPr>
        <xdr:spPr>
          <a:xfrm>
            <a:off x="114297" y="9021368"/>
            <a:ext cx="22092559" cy="351232"/>
          </a:xfrm>
          <a:prstGeom prst="roundRect">
            <a:avLst/>
          </a:prstGeom>
          <a:solidFill>
            <a:schemeClr val="bg2">
              <a:lumMod val="5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/>
          </a:p>
        </xdr:txBody>
      </xdr:sp>
      <xdr:sp macro="" textlink="">
        <xdr:nvSpPr>
          <xdr:cNvPr id="91" name="CaixaDeTexto 90">
            <a:extLst>
              <a:ext uri="{FF2B5EF4-FFF2-40B4-BE49-F238E27FC236}">
                <a16:creationId xmlns:a16="http://schemas.microsoft.com/office/drawing/2014/main" id="{4B118E9B-E4DF-4A97-8ABF-4C2937F2D332}"/>
              </a:ext>
            </a:extLst>
          </xdr:cNvPr>
          <xdr:cNvSpPr txBox="1"/>
        </xdr:nvSpPr>
        <xdr:spPr>
          <a:xfrm>
            <a:off x="200025" y="9067801"/>
            <a:ext cx="2249262" cy="2857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1100" b="1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Atualização dos dados: </a:t>
            </a:r>
          </a:p>
        </xdr:txBody>
      </xdr:sp>
      <xdr:sp macro="" textlink="">
        <xdr:nvSpPr>
          <xdr:cNvPr id="92" name="CaixaDeTexto 91">
            <a:extLst>
              <a:ext uri="{FF2B5EF4-FFF2-40B4-BE49-F238E27FC236}">
                <a16:creationId xmlns:a16="http://schemas.microsoft.com/office/drawing/2014/main" id="{DB0C4961-175E-48C5-8347-247B411CF0A7}"/>
              </a:ext>
            </a:extLst>
          </xdr:cNvPr>
          <xdr:cNvSpPr txBox="1"/>
        </xdr:nvSpPr>
        <xdr:spPr>
          <a:xfrm>
            <a:off x="10066564" y="9071883"/>
            <a:ext cx="3264353" cy="2857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pt-BR" sz="1100" b="1" baseline="0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Fonte: Centro de Monitoramento Geotecnico</a:t>
            </a:r>
          </a:p>
        </xdr:txBody>
      </xdr:sp>
    </xdr:grpSp>
    <xdr:clientData/>
  </xdr:twoCellAnchor>
  <xdr:twoCellAnchor>
    <xdr:from>
      <xdr:col>2</xdr:col>
      <xdr:colOff>353788</xdr:colOff>
      <xdr:row>36</xdr:row>
      <xdr:rowOff>126652</xdr:rowOff>
    </xdr:from>
    <xdr:to>
      <xdr:col>4</xdr:col>
      <xdr:colOff>1048</xdr:colOff>
      <xdr:row>38</xdr:row>
      <xdr:rowOff>4187</xdr:rowOff>
    </xdr:to>
    <xdr:sp macro="" textlink="">
      <xdr:nvSpPr>
        <xdr:cNvPr id="58" name="CaixaDeTexto 57">
          <a:extLst>
            <a:ext uri="{FF2B5EF4-FFF2-40B4-BE49-F238E27FC236}">
              <a16:creationId xmlns:a16="http://schemas.microsoft.com/office/drawing/2014/main" id="{FCEA28D1-FDCA-98FE-7A4B-D2CCDFA3D83C}"/>
            </a:ext>
          </a:extLst>
        </xdr:cNvPr>
        <xdr:cNvSpPr txBox="1"/>
      </xdr:nvSpPr>
      <xdr:spPr>
        <a:xfrm>
          <a:off x="1578431" y="7937152"/>
          <a:ext cx="871903" cy="258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Setembro</a:t>
          </a:r>
        </a:p>
      </xdr:txBody>
    </xdr:sp>
    <xdr:clientData/>
  </xdr:twoCellAnchor>
  <xdr:twoCellAnchor>
    <xdr:from>
      <xdr:col>0</xdr:col>
      <xdr:colOff>87086</xdr:colOff>
      <xdr:row>15</xdr:row>
      <xdr:rowOff>148999</xdr:rowOff>
    </xdr:from>
    <xdr:to>
      <xdr:col>4</xdr:col>
      <xdr:colOff>485776</xdr:colOff>
      <xdr:row>18</xdr:row>
      <xdr:rowOff>44224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977C634F-52B1-4C9D-97C2-202FADF658BF}"/>
            </a:ext>
          </a:extLst>
        </xdr:cNvPr>
        <xdr:cNvSpPr txBox="1"/>
      </xdr:nvSpPr>
      <xdr:spPr>
        <a:xfrm>
          <a:off x="87086" y="3958999"/>
          <a:ext cx="283709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Barragem 1</a:t>
          </a:r>
          <a:endParaRPr lang="pt-BR" sz="105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Volume Tratado (m³)</a:t>
          </a:r>
        </a:p>
      </xdr:txBody>
    </xdr:sp>
    <xdr:clientData/>
  </xdr:twoCellAnchor>
  <xdr:twoCellAnchor>
    <xdr:from>
      <xdr:col>12</xdr:col>
      <xdr:colOff>212272</xdr:colOff>
      <xdr:row>15</xdr:row>
      <xdr:rowOff>115661</xdr:rowOff>
    </xdr:from>
    <xdr:to>
      <xdr:col>17</xdr:col>
      <xdr:colOff>1362</xdr:colOff>
      <xdr:row>18</xdr:row>
      <xdr:rowOff>77561</xdr:rowOff>
    </xdr:to>
    <xdr:sp macro="" textlink="">
      <xdr:nvSpPr>
        <xdr:cNvPr id="68" name="CaixaDeTexto 67">
          <a:extLst>
            <a:ext uri="{FF2B5EF4-FFF2-40B4-BE49-F238E27FC236}">
              <a16:creationId xmlns:a16="http://schemas.microsoft.com/office/drawing/2014/main" id="{592F31B7-1090-4CBD-ABE9-7674C0B7C46E}"/>
            </a:ext>
          </a:extLst>
        </xdr:cNvPr>
        <xdr:cNvSpPr txBox="1"/>
      </xdr:nvSpPr>
      <xdr:spPr>
        <a:xfrm>
          <a:off x="7527472" y="3925661"/>
          <a:ext cx="283709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Barragem 2</a:t>
          </a:r>
        </a:p>
        <a:p>
          <a:pPr marL="0" indent="0"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Volume Tratado (m³)</a:t>
          </a:r>
        </a:p>
      </xdr:txBody>
    </xdr:sp>
    <xdr:clientData/>
  </xdr:twoCellAnchor>
  <xdr:twoCellAnchor>
    <xdr:from>
      <xdr:col>24</xdr:col>
      <xdr:colOff>223157</xdr:colOff>
      <xdr:row>15</xdr:row>
      <xdr:rowOff>115661</xdr:rowOff>
    </xdr:from>
    <xdr:to>
      <xdr:col>29</xdr:col>
      <xdr:colOff>9526</xdr:colOff>
      <xdr:row>18</xdr:row>
      <xdr:rowOff>77561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6FF7BDFA-CBCE-439C-BBC4-8A683A9956BC}"/>
            </a:ext>
          </a:extLst>
        </xdr:cNvPr>
        <xdr:cNvSpPr txBox="1"/>
      </xdr:nvSpPr>
      <xdr:spPr>
        <a:xfrm>
          <a:off x="14853557" y="3925661"/>
          <a:ext cx="2834369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Barragem 3</a:t>
          </a:r>
        </a:p>
        <a:p>
          <a:pPr marL="0" indent="0"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Volume Tratado (m³)</a:t>
          </a:r>
        </a:p>
      </xdr:txBody>
    </xdr:sp>
    <xdr:clientData/>
  </xdr:twoCellAnchor>
  <xdr:twoCellAnchor>
    <xdr:from>
      <xdr:col>0</xdr:col>
      <xdr:colOff>117107</xdr:colOff>
      <xdr:row>8</xdr:row>
      <xdr:rowOff>38719</xdr:rowOff>
    </xdr:from>
    <xdr:to>
      <xdr:col>5</xdr:col>
      <xdr:colOff>313032</xdr:colOff>
      <xdr:row>11</xdr:row>
      <xdr:rowOff>183181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294D89E5-2275-48E1-80A4-D905A8B993AA}"/>
            </a:ext>
          </a:extLst>
        </xdr:cNvPr>
        <xdr:cNvSpPr/>
      </xdr:nvSpPr>
      <xdr:spPr>
        <a:xfrm>
          <a:off x="117107" y="2515219"/>
          <a:ext cx="3257532" cy="715962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112310</xdr:colOff>
      <xdr:row>6</xdr:row>
      <xdr:rowOff>190145</xdr:rowOff>
    </xdr:from>
    <xdr:to>
      <xdr:col>5</xdr:col>
      <xdr:colOff>322881</xdr:colOff>
      <xdr:row>8</xdr:row>
      <xdr:rowOff>85370</xdr:rowOff>
    </xdr:to>
    <xdr:sp macro="" textlink="">
      <xdr:nvSpPr>
        <xdr:cNvPr id="71" name="Retângulo: Cantos Superiores Arredondados 70">
          <a:extLst>
            <a:ext uri="{FF2B5EF4-FFF2-40B4-BE49-F238E27FC236}">
              <a16:creationId xmlns:a16="http://schemas.microsoft.com/office/drawing/2014/main" id="{DE54437D-AA4B-4C42-B951-87DE312462BB}"/>
            </a:ext>
          </a:extLst>
        </xdr:cNvPr>
        <xdr:cNvSpPr/>
      </xdr:nvSpPr>
      <xdr:spPr>
        <a:xfrm>
          <a:off x="112310" y="2285645"/>
          <a:ext cx="3272178" cy="276225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Tratamento Anual</a:t>
          </a:r>
          <a:r>
            <a:rPr lang="pt-BR" sz="1100" b="1" baseline="0"/>
            <a:t> Barragem 1</a:t>
          </a:r>
          <a:endParaRPr lang="pt-BR" sz="1100" b="1"/>
        </a:p>
      </xdr:txBody>
    </xdr:sp>
    <xdr:clientData/>
  </xdr:twoCellAnchor>
  <xdr:twoCellAnchor>
    <xdr:from>
      <xdr:col>1</xdr:col>
      <xdr:colOff>402156</xdr:colOff>
      <xdr:row>8</xdr:row>
      <xdr:rowOff>93956</xdr:rowOff>
    </xdr:from>
    <xdr:to>
      <xdr:col>2</xdr:col>
      <xdr:colOff>293855</xdr:colOff>
      <xdr:row>9</xdr:row>
      <xdr:rowOff>163352</xdr:rowOff>
    </xdr:to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83EE4207-D2AC-463C-A748-20CE8A0D689D}"/>
            </a:ext>
          </a:extLst>
        </xdr:cNvPr>
        <xdr:cNvSpPr txBox="1"/>
      </xdr:nvSpPr>
      <xdr:spPr>
        <a:xfrm>
          <a:off x="1014477" y="2570456"/>
          <a:ext cx="50402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</a:p>
      </xdr:txBody>
    </xdr:sp>
    <xdr:clientData/>
  </xdr:twoCellAnchor>
  <xdr:twoCellAnchor>
    <xdr:from>
      <xdr:col>3</xdr:col>
      <xdr:colOff>582069</xdr:colOff>
      <xdr:row>8</xdr:row>
      <xdr:rowOff>93956</xdr:rowOff>
    </xdr:from>
    <xdr:to>
      <xdr:col>4</xdr:col>
      <xdr:colOff>473769</xdr:colOff>
      <xdr:row>9</xdr:row>
      <xdr:rowOff>163352</xdr:rowOff>
    </xdr:to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DDE515F4-9DE5-42AB-84D0-6665F5413B5A}"/>
            </a:ext>
          </a:extLst>
        </xdr:cNvPr>
        <xdr:cNvSpPr txBox="1"/>
      </xdr:nvSpPr>
      <xdr:spPr>
        <a:xfrm>
          <a:off x="2419033" y="2570456"/>
          <a:ext cx="504022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1</xdr:col>
      <xdr:colOff>168967</xdr:colOff>
      <xdr:row>10</xdr:row>
      <xdr:rowOff>8553</xdr:rowOff>
    </xdr:from>
    <xdr:to>
      <xdr:col>3</xdr:col>
      <xdr:colOff>12018</xdr:colOff>
      <xdr:row>11</xdr:row>
      <xdr:rowOff>77949</xdr:rowOff>
    </xdr:to>
    <xdr:sp macro="" textlink="Base_Dashborad!V84">
      <xdr:nvSpPr>
        <xdr:cNvPr id="97" name="CaixaDeTexto 96">
          <a:extLst>
            <a:ext uri="{FF2B5EF4-FFF2-40B4-BE49-F238E27FC236}">
              <a16:creationId xmlns:a16="http://schemas.microsoft.com/office/drawing/2014/main" id="{DEC35F32-0A6F-4408-B02F-F6951EE118A4}"/>
            </a:ext>
          </a:extLst>
        </xdr:cNvPr>
        <xdr:cNvSpPr txBox="1"/>
      </xdr:nvSpPr>
      <xdr:spPr>
        <a:xfrm>
          <a:off x="781288" y="2866053"/>
          <a:ext cx="1067694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EDFFE087-9029-4A27-95AB-1BC90E92F9A2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algn="l"/>
            <a:t>257.968,50</a:t>
          </a:fld>
          <a:r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baseline="0">
            <a:solidFill>
              <a:schemeClr val="bg2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384012</xdr:colOff>
      <xdr:row>10</xdr:row>
      <xdr:rowOff>8553</xdr:rowOff>
    </xdr:from>
    <xdr:to>
      <xdr:col>5</xdr:col>
      <xdr:colOff>296729</xdr:colOff>
      <xdr:row>11</xdr:row>
      <xdr:rowOff>77949</xdr:rowOff>
    </xdr:to>
    <xdr:sp macro="" textlink="Base_Dashborad!V85">
      <xdr:nvSpPr>
        <xdr:cNvPr id="98" name="CaixaDeTexto 97">
          <a:extLst>
            <a:ext uri="{FF2B5EF4-FFF2-40B4-BE49-F238E27FC236}">
              <a16:creationId xmlns:a16="http://schemas.microsoft.com/office/drawing/2014/main" id="{43A79A0B-51DF-487B-808D-0027E5914E6B}"/>
            </a:ext>
          </a:extLst>
        </xdr:cNvPr>
        <xdr:cNvSpPr txBox="1"/>
      </xdr:nvSpPr>
      <xdr:spPr>
        <a:xfrm>
          <a:off x="2220976" y="2866053"/>
          <a:ext cx="1137360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59C2C2F-77E5-4ECA-8EC1-3D4FBD256280}" type="TxLink"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pPr marL="0" indent="0" algn="l"/>
            <a:t>582.004,79</a:t>
          </a:fld>
          <a:r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accent2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546998</xdr:colOff>
      <xdr:row>12</xdr:row>
      <xdr:rowOff>136087</xdr:rowOff>
    </xdr:from>
    <xdr:to>
      <xdr:col>1</xdr:col>
      <xdr:colOff>266293</xdr:colOff>
      <xdr:row>14</xdr:row>
      <xdr:rowOff>84800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892398C1-026C-C59B-3874-6F819E23F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998" y="3374587"/>
          <a:ext cx="324413" cy="329713"/>
        </a:xfrm>
        <a:prstGeom prst="rect">
          <a:avLst/>
        </a:prstGeom>
      </xdr:spPr>
    </xdr:pic>
    <xdr:clientData/>
  </xdr:twoCellAnchor>
  <xdr:twoCellAnchor>
    <xdr:from>
      <xdr:col>3</xdr:col>
      <xdr:colOff>382534</xdr:colOff>
      <xdr:row>12</xdr:row>
      <xdr:rowOff>172558</xdr:rowOff>
    </xdr:from>
    <xdr:to>
      <xdr:col>4</xdr:col>
      <xdr:colOff>456156</xdr:colOff>
      <xdr:row>14</xdr:row>
      <xdr:rowOff>51454</xdr:rowOff>
    </xdr:to>
    <xdr:sp macro="" textlink="Base_Dashborad!S84">
      <xdr:nvSpPr>
        <xdr:cNvPr id="100" name="CaixaDeTexto 99">
          <a:extLst>
            <a:ext uri="{FF2B5EF4-FFF2-40B4-BE49-F238E27FC236}">
              <a16:creationId xmlns:a16="http://schemas.microsoft.com/office/drawing/2014/main" id="{2647E0D7-3090-45BA-AA3A-02593AAE6853}"/>
            </a:ext>
          </a:extLst>
        </xdr:cNvPr>
        <xdr:cNvSpPr txBox="1"/>
      </xdr:nvSpPr>
      <xdr:spPr>
        <a:xfrm>
          <a:off x="2197887" y="3411058"/>
          <a:ext cx="678740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F6910E7-A836-448C-970B-7FEA224A1A39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125,61%</a:t>
          </a:fld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58766</xdr:colOff>
      <xdr:row>12</xdr:row>
      <xdr:rowOff>170995</xdr:rowOff>
    </xdr:from>
    <xdr:to>
      <xdr:col>3</xdr:col>
      <xdr:colOff>155364</xdr:colOff>
      <xdr:row>14</xdr:row>
      <xdr:rowOff>49891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68466BEF-7BFD-4BAF-8ED4-D93041CCBE43}"/>
            </a:ext>
          </a:extLst>
        </xdr:cNvPr>
        <xdr:cNvSpPr txBox="1"/>
      </xdr:nvSpPr>
      <xdr:spPr>
        <a:xfrm>
          <a:off x="1269001" y="3409495"/>
          <a:ext cx="701716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 baseline="0">
              <a:solidFill>
                <a:schemeClr val="accent6"/>
              </a:solidFill>
              <a:effectLst/>
              <a:latin typeface="Aptos Narrow"/>
              <a:ea typeface="+mn-ea"/>
              <a:cs typeface="+mn-cs"/>
            </a:rPr>
            <a:t>Variação</a:t>
          </a:r>
        </a:p>
      </xdr:txBody>
    </xdr:sp>
    <xdr:clientData/>
  </xdr:twoCellAnchor>
  <xdr:twoCellAnchor>
    <xdr:from>
      <xdr:col>14</xdr:col>
      <xdr:colOff>42584</xdr:colOff>
      <xdr:row>8</xdr:row>
      <xdr:rowOff>93956</xdr:rowOff>
    </xdr:from>
    <xdr:to>
      <xdr:col>14</xdr:col>
      <xdr:colOff>545890</xdr:colOff>
      <xdr:row>9</xdr:row>
      <xdr:rowOff>163352</xdr:rowOff>
    </xdr:to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A236E258-94C5-4DFA-B219-84BE51AFA46A}"/>
            </a:ext>
          </a:extLst>
        </xdr:cNvPr>
        <xdr:cNvSpPr txBox="1"/>
      </xdr:nvSpPr>
      <xdr:spPr>
        <a:xfrm>
          <a:off x="8615084" y="2570456"/>
          <a:ext cx="503306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</a:p>
      </xdr:txBody>
    </xdr:sp>
    <xdr:clientData/>
  </xdr:twoCellAnchor>
  <xdr:twoCellAnchor>
    <xdr:from>
      <xdr:col>16</xdr:col>
      <xdr:colOff>132261</xdr:colOff>
      <xdr:row>8</xdr:row>
      <xdr:rowOff>93956</xdr:rowOff>
    </xdr:from>
    <xdr:to>
      <xdr:col>17</xdr:col>
      <xdr:colOff>19575</xdr:colOff>
      <xdr:row>9</xdr:row>
      <xdr:rowOff>163352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D648A4C9-0289-4B7D-B269-18C9D8617D09}"/>
            </a:ext>
          </a:extLst>
        </xdr:cNvPr>
        <xdr:cNvSpPr txBox="1"/>
      </xdr:nvSpPr>
      <xdr:spPr>
        <a:xfrm>
          <a:off x="9929404" y="2570456"/>
          <a:ext cx="499635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13</xdr:col>
      <xdr:colOff>361470</xdr:colOff>
      <xdr:row>10</xdr:row>
      <xdr:rowOff>8553</xdr:rowOff>
    </xdr:from>
    <xdr:to>
      <xdr:col>15</xdr:col>
      <xdr:colOff>166997</xdr:colOff>
      <xdr:row>11</xdr:row>
      <xdr:rowOff>77949</xdr:rowOff>
    </xdr:to>
    <xdr:sp macro="" textlink="Base_Dashborad!V87">
      <xdr:nvSpPr>
        <xdr:cNvPr id="114" name="CaixaDeTexto 113">
          <a:extLst>
            <a:ext uri="{FF2B5EF4-FFF2-40B4-BE49-F238E27FC236}">
              <a16:creationId xmlns:a16="http://schemas.microsoft.com/office/drawing/2014/main" id="{21786B4E-3559-4318-B852-7B7F76F196D0}"/>
            </a:ext>
          </a:extLst>
        </xdr:cNvPr>
        <xdr:cNvSpPr txBox="1"/>
      </xdr:nvSpPr>
      <xdr:spPr>
        <a:xfrm>
          <a:off x="8321649" y="2866053"/>
          <a:ext cx="1030169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C3EB3C3-4787-4491-BEBC-2D1BAD130B95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424.911,39</a:t>
          </a:fld>
          <a:r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556462</xdr:colOff>
      <xdr:row>10</xdr:row>
      <xdr:rowOff>8553</xdr:rowOff>
    </xdr:from>
    <xdr:to>
      <xdr:col>17</xdr:col>
      <xdr:colOff>469179</xdr:colOff>
      <xdr:row>11</xdr:row>
      <xdr:rowOff>77949</xdr:rowOff>
    </xdr:to>
    <xdr:sp macro="" textlink="Base_Dashborad!V88">
      <xdr:nvSpPr>
        <xdr:cNvPr id="115" name="CaixaDeTexto 114">
          <a:extLst>
            <a:ext uri="{FF2B5EF4-FFF2-40B4-BE49-F238E27FC236}">
              <a16:creationId xmlns:a16="http://schemas.microsoft.com/office/drawing/2014/main" id="{566FF0FA-E17D-4CE0-A440-4F7A86A1D998}"/>
            </a:ext>
          </a:extLst>
        </xdr:cNvPr>
        <xdr:cNvSpPr txBox="1"/>
      </xdr:nvSpPr>
      <xdr:spPr>
        <a:xfrm>
          <a:off x="9741283" y="2866053"/>
          <a:ext cx="1137360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ADF1265B-1BD7-4974-B544-7B9CB10BCBBC}" type="TxLink"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pPr marL="0" indent="0" algn="l"/>
            <a:t>335.712,51</a:t>
          </a:fld>
          <a:r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accent2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228160</xdr:colOff>
      <xdr:row>12</xdr:row>
      <xdr:rowOff>136087</xdr:rowOff>
    </xdr:from>
    <xdr:to>
      <xdr:col>13</xdr:col>
      <xdr:colOff>559060</xdr:colOff>
      <xdr:row>14</xdr:row>
      <xdr:rowOff>84800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53B241F2-2112-4AFF-A475-2DF222609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94689" y="3374587"/>
          <a:ext cx="330900" cy="329713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15</xdr:col>
      <xdr:colOff>554985</xdr:colOff>
      <xdr:row>12</xdr:row>
      <xdr:rowOff>172558</xdr:rowOff>
    </xdr:from>
    <xdr:to>
      <xdr:col>17</xdr:col>
      <xdr:colOff>17002</xdr:colOff>
      <xdr:row>14</xdr:row>
      <xdr:rowOff>51454</xdr:rowOff>
    </xdr:to>
    <xdr:sp macro="" textlink="Base_Dashborad!S87">
      <xdr:nvSpPr>
        <xdr:cNvPr id="117" name="CaixaDeTexto 116">
          <a:extLst>
            <a:ext uri="{FF2B5EF4-FFF2-40B4-BE49-F238E27FC236}">
              <a16:creationId xmlns:a16="http://schemas.microsoft.com/office/drawing/2014/main" id="{CB2FB277-66B3-4DB0-8A20-BC108C71015D}"/>
            </a:ext>
          </a:extLst>
        </xdr:cNvPr>
        <xdr:cNvSpPr txBox="1"/>
      </xdr:nvSpPr>
      <xdr:spPr>
        <a:xfrm>
          <a:off x="9631750" y="3411058"/>
          <a:ext cx="672252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2166213-E22D-47C9-827F-C429369BA578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-20,99%</a:t>
          </a:fld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306334</xdr:colOff>
      <xdr:row>12</xdr:row>
      <xdr:rowOff>170995</xdr:rowOff>
    </xdr:from>
    <xdr:to>
      <xdr:col>15</xdr:col>
      <xdr:colOff>402932</xdr:colOff>
      <xdr:row>14</xdr:row>
      <xdr:rowOff>49891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96222D2D-4ABF-4842-B975-865A62DC7DB6}"/>
            </a:ext>
          </a:extLst>
        </xdr:cNvPr>
        <xdr:cNvSpPr txBox="1"/>
      </xdr:nvSpPr>
      <xdr:spPr>
        <a:xfrm>
          <a:off x="8777981" y="3409495"/>
          <a:ext cx="701716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 baseline="0">
              <a:solidFill>
                <a:schemeClr val="accent6"/>
              </a:solidFill>
              <a:effectLst/>
              <a:latin typeface="Aptos Narrow"/>
              <a:ea typeface="+mn-ea"/>
              <a:cs typeface="+mn-cs"/>
            </a:rPr>
            <a:t>Variação</a:t>
          </a:r>
        </a:p>
      </xdr:txBody>
    </xdr:sp>
    <xdr:clientData/>
  </xdr:twoCellAnchor>
  <xdr:twoCellAnchor>
    <xdr:from>
      <xdr:col>25</xdr:col>
      <xdr:colOff>607905</xdr:colOff>
      <xdr:row>8</xdr:row>
      <xdr:rowOff>93956</xdr:rowOff>
    </xdr:from>
    <xdr:to>
      <xdr:col>26</xdr:col>
      <xdr:colOff>499605</xdr:colOff>
      <xdr:row>9</xdr:row>
      <xdr:rowOff>163352</xdr:rowOff>
    </xdr:to>
    <xdr:sp macro="" textlink="">
      <xdr:nvSpPr>
        <xdr:cNvPr id="142" name="CaixaDeTexto 141">
          <a:extLst>
            <a:ext uri="{FF2B5EF4-FFF2-40B4-BE49-F238E27FC236}">
              <a16:creationId xmlns:a16="http://schemas.microsoft.com/office/drawing/2014/main" id="{5E99FBA1-9821-4EE0-8CD5-6E99B9C7C494}"/>
            </a:ext>
          </a:extLst>
        </xdr:cNvPr>
        <xdr:cNvSpPr txBox="1"/>
      </xdr:nvSpPr>
      <xdr:spPr>
        <a:xfrm>
          <a:off x="15915941" y="2570456"/>
          <a:ext cx="50402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</a:p>
      </xdr:txBody>
    </xdr:sp>
    <xdr:clientData/>
  </xdr:twoCellAnchor>
  <xdr:twoCellAnchor>
    <xdr:from>
      <xdr:col>28</xdr:col>
      <xdr:colOff>100973</xdr:colOff>
      <xdr:row>8</xdr:row>
      <xdr:rowOff>93956</xdr:rowOff>
    </xdr:from>
    <xdr:to>
      <xdr:col>28</xdr:col>
      <xdr:colOff>603694</xdr:colOff>
      <xdr:row>9</xdr:row>
      <xdr:rowOff>163352</xdr:rowOff>
    </xdr:to>
    <xdr:sp macro="" textlink="">
      <xdr:nvSpPr>
        <xdr:cNvPr id="143" name="CaixaDeTexto 142">
          <a:extLst>
            <a:ext uri="{FF2B5EF4-FFF2-40B4-BE49-F238E27FC236}">
              <a16:creationId xmlns:a16="http://schemas.microsoft.com/office/drawing/2014/main" id="{40FFDA6C-054D-4501-83FB-0440D8858F2B}"/>
            </a:ext>
          </a:extLst>
        </xdr:cNvPr>
        <xdr:cNvSpPr txBox="1"/>
      </xdr:nvSpPr>
      <xdr:spPr>
        <a:xfrm>
          <a:off x="17245973" y="2570456"/>
          <a:ext cx="50272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25</xdr:col>
      <xdr:colOff>373015</xdr:colOff>
      <xdr:row>10</xdr:row>
      <xdr:rowOff>8553</xdr:rowOff>
    </xdr:from>
    <xdr:to>
      <xdr:col>27</xdr:col>
      <xdr:colOff>278403</xdr:colOff>
      <xdr:row>11</xdr:row>
      <xdr:rowOff>77949</xdr:rowOff>
    </xdr:to>
    <xdr:sp macro="" textlink="Base_Dashborad!V90">
      <xdr:nvSpPr>
        <xdr:cNvPr id="144" name="CaixaDeTexto 143">
          <a:extLst>
            <a:ext uri="{FF2B5EF4-FFF2-40B4-BE49-F238E27FC236}">
              <a16:creationId xmlns:a16="http://schemas.microsoft.com/office/drawing/2014/main" id="{FDD46EDA-1FC2-4286-BD44-5D36A7AB3B57}"/>
            </a:ext>
          </a:extLst>
        </xdr:cNvPr>
        <xdr:cNvSpPr txBox="1"/>
      </xdr:nvSpPr>
      <xdr:spPr>
        <a:xfrm>
          <a:off x="15681051" y="2866053"/>
          <a:ext cx="113003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45FCF56D-112D-4D5B-A82B-4280148485F6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1.156.482,26</a:t>
          </a:fld>
          <a:r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552969</xdr:colOff>
      <xdr:row>10</xdr:row>
      <xdr:rowOff>8553</xdr:rowOff>
    </xdr:from>
    <xdr:to>
      <xdr:col>29</xdr:col>
      <xdr:colOff>465685</xdr:colOff>
      <xdr:row>11</xdr:row>
      <xdr:rowOff>77949</xdr:rowOff>
    </xdr:to>
    <xdr:sp macro="" textlink="Base_Dashborad!V91">
      <xdr:nvSpPr>
        <xdr:cNvPr id="145" name="CaixaDeTexto 144">
          <a:extLst>
            <a:ext uri="{FF2B5EF4-FFF2-40B4-BE49-F238E27FC236}">
              <a16:creationId xmlns:a16="http://schemas.microsoft.com/office/drawing/2014/main" id="{F8798A9A-1EBE-44FD-A74A-7438119F876B}"/>
            </a:ext>
          </a:extLst>
        </xdr:cNvPr>
        <xdr:cNvSpPr txBox="1"/>
      </xdr:nvSpPr>
      <xdr:spPr>
        <a:xfrm>
          <a:off x="17085648" y="2866053"/>
          <a:ext cx="1137358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554B8FC-7F54-4A31-BFC7-61AA39953BA2}" type="TxLink"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pPr marL="0" indent="0" algn="l"/>
            <a:t>1.387.950,68</a:t>
          </a:fld>
          <a:r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accent2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76014</xdr:colOff>
      <xdr:row>12</xdr:row>
      <xdr:rowOff>136087</xdr:rowOff>
    </xdr:from>
    <xdr:to>
      <xdr:col>25</xdr:col>
      <xdr:colOff>402527</xdr:colOff>
      <xdr:row>14</xdr:row>
      <xdr:rowOff>84800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AD61E764-F426-44FD-8468-A408C10FD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03955" y="3374587"/>
          <a:ext cx="326513" cy="329713"/>
        </a:xfrm>
        <a:prstGeom prst="rect">
          <a:avLst/>
        </a:prstGeom>
        <a:noFill/>
        <a:ln w="9525" cmpd="sng">
          <a:noFill/>
        </a:ln>
      </xdr:spPr>
    </xdr:pic>
    <xdr:clientData/>
  </xdr:twoCellAnchor>
  <xdr:twoCellAnchor>
    <xdr:from>
      <xdr:col>27</xdr:col>
      <xdr:colOff>594593</xdr:colOff>
      <xdr:row>12</xdr:row>
      <xdr:rowOff>172558</xdr:rowOff>
    </xdr:from>
    <xdr:to>
      <xdr:col>29</xdr:col>
      <xdr:colOff>60996</xdr:colOff>
      <xdr:row>14</xdr:row>
      <xdr:rowOff>51454</xdr:rowOff>
    </xdr:to>
    <xdr:sp macro="" textlink="Base_Dashborad!S90">
      <xdr:nvSpPr>
        <xdr:cNvPr id="147" name="CaixaDeTexto 146">
          <a:extLst>
            <a:ext uri="{FF2B5EF4-FFF2-40B4-BE49-F238E27FC236}">
              <a16:creationId xmlns:a16="http://schemas.microsoft.com/office/drawing/2014/main" id="{D3799F60-00E3-4B2B-B962-3DC03302E6B5}"/>
            </a:ext>
          </a:extLst>
        </xdr:cNvPr>
        <xdr:cNvSpPr txBox="1"/>
      </xdr:nvSpPr>
      <xdr:spPr>
        <a:xfrm>
          <a:off x="16932769" y="3411058"/>
          <a:ext cx="676639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B0B5774E-D990-4BD9-BEE3-1ADA7F7943F2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20,01%</a:t>
          </a:fld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273958</xdr:colOff>
      <xdr:row>12</xdr:row>
      <xdr:rowOff>170995</xdr:rowOff>
    </xdr:from>
    <xdr:to>
      <xdr:col>27</xdr:col>
      <xdr:colOff>370557</xdr:colOff>
      <xdr:row>14</xdr:row>
      <xdr:rowOff>49891</xdr:rowOff>
    </xdr:to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FC106259-2867-40B7-88F7-48781E4A722D}"/>
            </a:ext>
          </a:extLst>
        </xdr:cNvPr>
        <xdr:cNvSpPr txBox="1"/>
      </xdr:nvSpPr>
      <xdr:spPr>
        <a:xfrm>
          <a:off x="16007017" y="3409495"/>
          <a:ext cx="701716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 baseline="0">
              <a:solidFill>
                <a:schemeClr val="accent6"/>
              </a:solidFill>
              <a:effectLst/>
              <a:latin typeface="Aptos Narrow"/>
              <a:ea typeface="+mn-ea"/>
              <a:cs typeface="+mn-cs"/>
            </a:rPr>
            <a:t>Variação</a:t>
          </a:r>
        </a:p>
      </xdr:txBody>
    </xdr:sp>
    <xdr:clientData/>
  </xdr:twoCellAnchor>
  <xdr:twoCellAnchor>
    <xdr:from>
      <xdr:col>0</xdr:col>
      <xdr:colOff>133671</xdr:colOff>
      <xdr:row>18</xdr:row>
      <xdr:rowOff>13606</xdr:rowOff>
    </xdr:from>
    <xdr:to>
      <xdr:col>12</xdr:col>
      <xdr:colOff>13607</xdr:colOff>
      <xdr:row>35</xdr:row>
      <xdr:rowOff>40821</xdr:rowOff>
    </xdr:to>
    <xdr:graphicFrame macro="">
      <xdr:nvGraphicFramePr>
        <xdr:cNvPr id="153" name="Gráfico 152">
          <a:extLst>
            <a:ext uri="{FF2B5EF4-FFF2-40B4-BE49-F238E27FC236}">
              <a16:creationId xmlns:a16="http://schemas.microsoft.com/office/drawing/2014/main" id="{EBBDD8D0-814D-49FF-BC4D-89D8021F1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248828</xdr:colOff>
      <xdr:row>18</xdr:row>
      <xdr:rowOff>13863</xdr:rowOff>
    </xdr:from>
    <xdr:to>
      <xdr:col>24</xdr:col>
      <xdr:colOff>129771</xdr:colOff>
      <xdr:row>35</xdr:row>
      <xdr:rowOff>40563</xdr:rowOff>
    </xdr:to>
    <xdr:graphicFrame macro="">
      <xdr:nvGraphicFramePr>
        <xdr:cNvPr id="154" name="Gráfico 153">
          <a:extLst>
            <a:ext uri="{FF2B5EF4-FFF2-40B4-BE49-F238E27FC236}">
              <a16:creationId xmlns:a16="http://schemas.microsoft.com/office/drawing/2014/main" id="{36C2A845-8434-4142-9EE9-5F4558676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364992</xdr:colOff>
      <xdr:row>18</xdr:row>
      <xdr:rowOff>13863</xdr:rowOff>
    </xdr:from>
    <xdr:to>
      <xdr:col>36</xdr:col>
      <xdr:colOff>55435</xdr:colOff>
      <xdr:row>35</xdr:row>
      <xdr:rowOff>40563</xdr:rowOff>
    </xdr:to>
    <xdr:graphicFrame macro="">
      <xdr:nvGraphicFramePr>
        <xdr:cNvPr id="156" name="Gráfico 155">
          <a:extLst>
            <a:ext uri="{FF2B5EF4-FFF2-40B4-BE49-F238E27FC236}">
              <a16:creationId xmlns:a16="http://schemas.microsoft.com/office/drawing/2014/main" id="{0C1B8D76-A41B-400D-9AE8-F79C851DC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130559</xdr:colOff>
      <xdr:row>8</xdr:row>
      <xdr:rowOff>143064</xdr:rowOff>
    </xdr:from>
    <xdr:to>
      <xdr:col>3</xdr:col>
      <xdr:colOff>130559</xdr:colOff>
      <xdr:row>11</xdr:row>
      <xdr:rowOff>75564</xdr:rowOff>
    </xdr:to>
    <xdr:cxnSp macro="">
      <xdr:nvCxnSpPr>
        <xdr:cNvPr id="157" name="Conector reto 156">
          <a:extLst>
            <a:ext uri="{FF2B5EF4-FFF2-40B4-BE49-F238E27FC236}">
              <a16:creationId xmlns:a16="http://schemas.microsoft.com/office/drawing/2014/main" id="{F8AA0CBC-CF69-4DAB-8C65-B08FA7060D1F}"/>
            </a:ext>
          </a:extLst>
        </xdr:cNvPr>
        <xdr:cNvCxnSpPr/>
      </xdr:nvCxnSpPr>
      <xdr:spPr>
        <a:xfrm>
          <a:off x="1965375" y="2619564"/>
          <a:ext cx="0" cy="504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117753</xdr:colOff>
      <xdr:row>12</xdr:row>
      <xdr:rowOff>83949</xdr:rowOff>
    </xdr:from>
    <xdr:to>
      <xdr:col>5</xdr:col>
      <xdr:colOff>313678</xdr:colOff>
      <xdr:row>14</xdr:row>
      <xdr:rowOff>148525</xdr:rowOff>
    </xdr:to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995FE392-DAD2-4F6D-94C0-9B1D9C1E98B5}"/>
            </a:ext>
          </a:extLst>
        </xdr:cNvPr>
        <xdr:cNvSpPr/>
      </xdr:nvSpPr>
      <xdr:spPr>
        <a:xfrm>
          <a:off x="117753" y="3322449"/>
          <a:ext cx="3247154" cy="445576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275681</xdr:colOff>
      <xdr:row>8</xdr:row>
      <xdr:rowOff>38719</xdr:rowOff>
    </xdr:from>
    <xdr:to>
      <xdr:col>17</xdr:col>
      <xdr:colOff>471606</xdr:colOff>
      <xdr:row>11</xdr:row>
      <xdr:rowOff>183181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C0BE2BAA-0D86-455A-98A7-BF03E77D7F60}"/>
            </a:ext>
          </a:extLst>
        </xdr:cNvPr>
        <xdr:cNvSpPr/>
      </xdr:nvSpPr>
      <xdr:spPr>
        <a:xfrm>
          <a:off x="7623538" y="2515219"/>
          <a:ext cx="3257532" cy="715962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264710</xdr:colOff>
      <xdr:row>6</xdr:row>
      <xdr:rowOff>190145</xdr:rowOff>
    </xdr:from>
    <xdr:to>
      <xdr:col>17</xdr:col>
      <xdr:colOff>484203</xdr:colOff>
      <xdr:row>8</xdr:row>
      <xdr:rowOff>85370</xdr:rowOff>
    </xdr:to>
    <xdr:sp macro="" textlink="">
      <xdr:nvSpPr>
        <xdr:cNvPr id="111" name="Retângulo: Cantos Superiores Arredondados 110">
          <a:extLst>
            <a:ext uri="{FF2B5EF4-FFF2-40B4-BE49-F238E27FC236}">
              <a16:creationId xmlns:a16="http://schemas.microsoft.com/office/drawing/2014/main" id="{90220FA7-75A9-47BE-A27D-3809904A9E84}"/>
            </a:ext>
          </a:extLst>
        </xdr:cNvPr>
        <xdr:cNvSpPr/>
      </xdr:nvSpPr>
      <xdr:spPr>
        <a:xfrm>
          <a:off x="7612567" y="2285645"/>
          <a:ext cx="3281100" cy="276225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Tratamento Anual</a:t>
          </a:r>
          <a:r>
            <a:rPr lang="pt-BR" sz="1100" b="1" baseline="0"/>
            <a:t> Barragem 2</a:t>
          </a:r>
          <a:endParaRPr lang="pt-BR" sz="1100" b="1"/>
        </a:p>
      </xdr:txBody>
    </xdr:sp>
    <xdr:clientData/>
  </xdr:twoCellAnchor>
  <xdr:twoCellAnchor>
    <xdr:from>
      <xdr:col>15</xdr:col>
      <xdr:colOff>364617</xdr:colOff>
      <xdr:row>8</xdr:row>
      <xdr:rowOff>174081</xdr:rowOff>
    </xdr:from>
    <xdr:to>
      <xdr:col>15</xdr:col>
      <xdr:colOff>364617</xdr:colOff>
      <xdr:row>11</xdr:row>
      <xdr:rowOff>106581</xdr:rowOff>
    </xdr:to>
    <xdr:cxnSp macro="">
      <xdr:nvCxnSpPr>
        <xdr:cNvPr id="161" name="Conector reto 160">
          <a:extLst>
            <a:ext uri="{FF2B5EF4-FFF2-40B4-BE49-F238E27FC236}">
              <a16:creationId xmlns:a16="http://schemas.microsoft.com/office/drawing/2014/main" id="{258E7D77-B04F-43FE-9B22-CD28EF180457}"/>
            </a:ext>
          </a:extLst>
        </xdr:cNvPr>
        <xdr:cNvCxnSpPr/>
      </xdr:nvCxnSpPr>
      <xdr:spPr>
        <a:xfrm flipH="1">
          <a:off x="9538696" y="2650581"/>
          <a:ext cx="0" cy="504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280179</xdr:colOff>
      <xdr:row>12</xdr:row>
      <xdr:rowOff>80941</xdr:rowOff>
    </xdr:from>
    <xdr:to>
      <xdr:col>17</xdr:col>
      <xdr:colOff>476104</xdr:colOff>
      <xdr:row>14</xdr:row>
      <xdr:rowOff>145517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A7362318-9ACA-41ED-A38F-08C4037A98F1}"/>
            </a:ext>
          </a:extLst>
        </xdr:cNvPr>
        <xdr:cNvSpPr/>
      </xdr:nvSpPr>
      <xdr:spPr>
        <a:xfrm>
          <a:off x="7619442" y="3319441"/>
          <a:ext cx="3253951" cy="445576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233012</xdr:colOff>
      <xdr:row>9</xdr:row>
      <xdr:rowOff>6320</xdr:rowOff>
    </xdr:from>
    <xdr:to>
      <xdr:col>1</xdr:col>
      <xdr:colOff>46622</xdr:colOff>
      <xdr:row>11</xdr:row>
      <xdr:rowOff>50535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CC4FDA-D80E-666B-1FE6-F3E7B1373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3012" y="2673320"/>
          <a:ext cx="425931" cy="425215"/>
        </a:xfrm>
        <a:prstGeom prst="rect">
          <a:avLst/>
        </a:prstGeom>
      </xdr:spPr>
    </xdr:pic>
    <xdr:clientData/>
  </xdr:twoCellAnchor>
  <xdr:twoCellAnchor editAs="oneCell">
    <xdr:from>
      <xdr:col>12</xdr:col>
      <xdr:colOff>395438</xdr:colOff>
      <xdr:row>9</xdr:row>
      <xdr:rowOff>6320</xdr:rowOff>
    </xdr:from>
    <xdr:to>
      <xdr:col>13</xdr:col>
      <xdr:colOff>209048</xdr:colOff>
      <xdr:row>11</xdr:row>
      <xdr:rowOff>50535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2322C51-3003-4BB0-870C-E287124D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43295" y="2673320"/>
          <a:ext cx="425932" cy="425215"/>
        </a:xfrm>
        <a:prstGeom prst="rect">
          <a:avLst/>
        </a:prstGeom>
      </xdr:spPr>
    </xdr:pic>
    <xdr:clientData/>
  </xdr:twoCellAnchor>
  <xdr:twoCellAnchor editAs="oneCell">
    <xdr:from>
      <xdr:col>24</xdr:col>
      <xdr:colOff>385985</xdr:colOff>
      <xdr:row>9</xdr:row>
      <xdr:rowOff>6320</xdr:rowOff>
    </xdr:from>
    <xdr:to>
      <xdr:col>25</xdr:col>
      <xdr:colOff>199594</xdr:colOff>
      <xdr:row>11</xdr:row>
      <xdr:rowOff>50535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BC3CEA4-9C0F-43A8-8986-D2191179A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81699" y="2673320"/>
          <a:ext cx="425931" cy="425215"/>
        </a:xfrm>
        <a:prstGeom prst="rect">
          <a:avLst/>
        </a:prstGeom>
      </xdr:spPr>
    </xdr:pic>
    <xdr:clientData/>
  </xdr:twoCellAnchor>
  <xdr:twoCellAnchor>
    <xdr:from>
      <xdr:col>24</xdr:col>
      <xdr:colOff>253268</xdr:colOff>
      <xdr:row>8</xdr:row>
      <xdr:rowOff>38719</xdr:rowOff>
    </xdr:from>
    <xdr:to>
      <xdr:col>29</xdr:col>
      <xdr:colOff>449192</xdr:colOff>
      <xdr:row>11</xdr:row>
      <xdr:rowOff>183181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7BC41CFE-F0E7-4CC9-BF8D-17465E216E92}"/>
            </a:ext>
          </a:extLst>
        </xdr:cNvPr>
        <xdr:cNvSpPr/>
      </xdr:nvSpPr>
      <xdr:spPr>
        <a:xfrm>
          <a:off x="14948982" y="2515219"/>
          <a:ext cx="3257531" cy="715962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24</xdr:col>
      <xdr:colOff>245099</xdr:colOff>
      <xdr:row>6</xdr:row>
      <xdr:rowOff>190145</xdr:rowOff>
    </xdr:from>
    <xdr:to>
      <xdr:col>29</xdr:col>
      <xdr:colOff>464592</xdr:colOff>
      <xdr:row>8</xdr:row>
      <xdr:rowOff>85370</xdr:rowOff>
    </xdr:to>
    <xdr:sp macro="" textlink="">
      <xdr:nvSpPr>
        <xdr:cNvPr id="141" name="Retângulo: Cantos Superiores Arredondados 140">
          <a:extLst>
            <a:ext uri="{FF2B5EF4-FFF2-40B4-BE49-F238E27FC236}">
              <a16:creationId xmlns:a16="http://schemas.microsoft.com/office/drawing/2014/main" id="{398DD9EE-C7E6-4E86-A5E5-88C1EA03E82E}"/>
            </a:ext>
          </a:extLst>
        </xdr:cNvPr>
        <xdr:cNvSpPr/>
      </xdr:nvSpPr>
      <xdr:spPr>
        <a:xfrm>
          <a:off x="14940813" y="2285645"/>
          <a:ext cx="3281100" cy="276225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Tratamento Anual</a:t>
          </a:r>
          <a:r>
            <a:rPr lang="pt-BR" sz="1100" b="1" baseline="0"/>
            <a:t> Barragem 3</a:t>
          </a:r>
          <a:endParaRPr lang="pt-BR" sz="1100" b="1"/>
        </a:p>
      </xdr:txBody>
    </xdr:sp>
    <xdr:clientData/>
  </xdr:twoCellAnchor>
  <xdr:twoCellAnchor>
    <xdr:from>
      <xdr:col>27</xdr:col>
      <xdr:colOff>407855</xdr:colOff>
      <xdr:row>8</xdr:row>
      <xdr:rowOff>125236</xdr:rowOff>
    </xdr:from>
    <xdr:to>
      <xdr:col>27</xdr:col>
      <xdr:colOff>407855</xdr:colOff>
      <xdr:row>11</xdr:row>
      <xdr:rowOff>57736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257DE890-7135-460C-ACD9-5032F8AB4FA7}"/>
            </a:ext>
          </a:extLst>
        </xdr:cNvPr>
        <xdr:cNvCxnSpPr/>
      </xdr:nvCxnSpPr>
      <xdr:spPr>
        <a:xfrm flipH="1">
          <a:off x="16848685" y="2601736"/>
          <a:ext cx="0" cy="504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246003</xdr:colOff>
      <xdr:row>12</xdr:row>
      <xdr:rowOff>79308</xdr:rowOff>
    </xdr:from>
    <xdr:to>
      <xdr:col>29</xdr:col>
      <xdr:colOff>441928</xdr:colOff>
      <xdr:row>14</xdr:row>
      <xdr:rowOff>143884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35AAD61C-D5C2-4EE2-BCAC-13457843315C}"/>
            </a:ext>
          </a:extLst>
        </xdr:cNvPr>
        <xdr:cNvSpPr/>
      </xdr:nvSpPr>
      <xdr:spPr>
        <a:xfrm>
          <a:off x="14819253" y="3317808"/>
          <a:ext cx="3232019" cy="445576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423528</xdr:colOff>
      <xdr:row>8</xdr:row>
      <xdr:rowOff>38719</xdr:rowOff>
    </xdr:from>
    <xdr:to>
      <xdr:col>11</xdr:col>
      <xdr:colOff>11475</xdr:colOff>
      <xdr:row>11</xdr:row>
      <xdr:rowOff>183181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EE6F83C9-B8B6-44CE-BE61-2FFE9AD476B3}"/>
            </a:ext>
          </a:extLst>
        </xdr:cNvPr>
        <xdr:cNvSpPr/>
      </xdr:nvSpPr>
      <xdr:spPr>
        <a:xfrm>
          <a:off x="3485135" y="2515219"/>
          <a:ext cx="3261876" cy="715962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413525</xdr:colOff>
      <xdr:row>6</xdr:row>
      <xdr:rowOff>190145</xdr:rowOff>
    </xdr:from>
    <xdr:to>
      <xdr:col>11</xdr:col>
      <xdr:colOff>18585</xdr:colOff>
      <xdr:row>8</xdr:row>
      <xdr:rowOff>85370</xdr:rowOff>
    </xdr:to>
    <xdr:sp macro="" textlink="">
      <xdr:nvSpPr>
        <xdr:cNvPr id="52" name="Retângulo: Cantos Superiores Arredondados 51">
          <a:extLst>
            <a:ext uri="{FF2B5EF4-FFF2-40B4-BE49-F238E27FC236}">
              <a16:creationId xmlns:a16="http://schemas.microsoft.com/office/drawing/2014/main" id="{B43310BE-420D-4105-B034-3816AC5A2673}"/>
            </a:ext>
          </a:extLst>
        </xdr:cNvPr>
        <xdr:cNvSpPr/>
      </xdr:nvSpPr>
      <xdr:spPr>
        <a:xfrm>
          <a:off x="3456879" y="2285645"/>
          <a:ext cx="3257084" cy="276225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Variação da</a:t>
          </a:r>
          <a:r>
            <a:rPr lang="pt-BR" sz="1100" b="1" baseline="0"/>
            <a:t> Média Mensal</a:t>
          </a:r>
          <a:endParaRPr lang="pt-BR" sz="1100" b="1"/>
        </a:p>
      </xdr:txBody>
    </xdr:sp>
    <xdr:clientData/>
  </xdr:twoCellAnchor>
  <xdr:twoCellAnchor>
    <xdr:from>
      <xdr:col>7</xdr:col>
      <xdr:colOff>232211</xdr:colOff>
      <xdr:row>8</xdr:row>
      <xdr:rowOff>98009</xdr:rowOff>
    </xdr:from>
    <xdr:to>
      <xdr:col>8</xdr:col>
      <xdr:colOff>123909</xdr:colOff>
      <xdr:row>9</xdr:row>
      <xdr:rowOff>167405</xdr:rowOff>
    </xdr:to>
    <xdr:sp macro="" textlink="">
      <xdr:nvSpPr>
        <xdr:cNvPr id="60" name="CaixaDeTexto 59">
          <a:extLst>
            <a:ext uri="{FF2B5EF4-FFF2-40B4-BE49-F238E27FC236}">
              <a16:creationId xmlns:a16="http://schemas.microsoft.com/office/drawing/2014/main" id="{81A1D6B2-6AFB-483B-BD98-EF752A05B5F1}"/>
            </a:ext>
          </a:extLst>
        </xdr:cNvPr>
        <xdr:cNvSpPr txBox="1"/>
      </xdr:nvSpPr>
      <xdr:spPr>
        <a:xfrm>
          <a:off x="4488062" y="2574509"/>
          <a:ext cx="499677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</a:p>
      </xdr:txBody>
    </xdr:sp>
    <xdr:clientData/>
  </xdr:twoCellAnchor>
  <xdr:twoCellAnchor>
    <xdr:from>
      <xdr:col>9</xdr:col>
      <xdr:colOff>412123</xdr:colOff>
      <xdr:row>8</xdr:row>
      <xdr:rowOff>98009</xdr:rowOff>
    </xdr:from>
    <xdr:to>
      <xdr:col>10</xdr:col>
      <xdr:colOff>303824</xdr:colOff>
      <xdr:row>9</xdr:row>
      <xdr:rowOff>167405</xdr:rowOff>
    </xdr:to>
    <xdr:sp macro="" textlink="">
      <xdr:nvSpPr>
        <xdr:cNvPr id="61" name="CaixaDeTexto 60">
          <a:extLst>
            <a:ext uri="{FF2B5EF4-FFF2-40B4-BE49-F238E27FC236}">
              <a16:creationId xmlns:a16="http://schemas.microsoft.com/office/drawing/2014/main" id="{5A3E3485-6292-44EF-87FC-1F333ADA26A5}"/>
            </a:ext>
          </a:extLst>
        </xdr:cNvPr>
        <xdr:cNvSpPr txBox="1"/>
      </xdr:nvSpPr>
      <xdr:spPr>
        <a:xfrm>
          <a:off x="5883932" y="2574509"/>
          <a:ext cx="499679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7</xdr:col>
      <xdr:colOff>70594</xdr:colOff>
      <xdr:row>10</xdr:row>
      <xdr:rowOff>7593</xdr:rowOff>
    </xdr:from>
    <xdr:to>
      <xdr:col>8</xdr:col>
      <xdr:colOff>525249</xdr:colOff>
      <xdr:row>11</xdr:row>
      <xdr:rowOff>76989</xdr:rowOff>
    </xdr:to>
    <xdr:sp macro="" textlink="Auxiliar!V7">
      <xdr:nvSpPr>
        <xdr:cNvPr id="62" name="CaixaDeTexto 61">
          <a:extLst>
            <a:ext uri="{FF2B5EF4-FFF2-40B4-BE49-F238E27FC236}">
              <a16:creationId xmlns:a16="http://schemas.microsoft.com/office/drawing/2014/main" id="{B4922F5B-CB82-42A8-8684-3BE75E44D525}"/>
            </a:ext>
          </a:extLst>
        </xdr:cNvPr>
        <xdr:cNvSpPr txBox="1"/>
      </xdr:nvSpPr>
      <xdr:spPr>
        <a:xfrm>
          <a:off x="4351831" y="2865093"/>
          <a:ext cx="1066260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0F54256-43F0-46AA-B082-FBD353FD6E46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32.246,06</a:t>
          </a:fld>
          <a:r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214066</xdr:colOff>
      <xdr:row>10</xdr:row>
      <xdr:rowOff>12606</xdr:rowOff>
    </xdr:from>
    <xdr:to>
      <xdr:col>11</xdr:col>
      <xdr:colOff>126784</xdr:colOff>
      <xdr:row>11</xdr:row>
      <xdr:rowOff>82002</xdr:rowOff>
    </xdr:to>
    <xdr:sp macro="" textlink="Auxiliar!W7">
      <xdr:nvSpPr>
        <xdr:cNvPr id="64" name="CaixaDeTexto 63">
          <a:extLst>
            <a:ext uri="{FF2B5EF4-FFF2-40B4-BE49-F238E27FC236}">
              <a16:creationId xmlns:a16="http://schemas.microsoft.com/office/drawing/2014/main" id="{51602C05-C4C5-4457-AC00-CC928C596B1B}"/>
            </a:ext>
          </a:extLst>
        </xdr:cNvPr>
        <xdr:cNvSpPr txBox="1"/>
      </xdr:nvSpPr>
      <xdr:spPr>
        <a:xfrm>
          <a:off x="5685875" y="2870106"/>
          <a:ext cx="1128675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57F530C-892A-4E1B-9B3B-B894DE4F2C4C}" type="TxLink"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pPr marL="0" indent="0" algn="l"/>
            <a:t>72.750,60</a:t>
          </a:fld>
          <a:r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accent2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11736</xdr:colOff>
      <xdr:row>8</xdr:row>
      <xdr:rowOff>147117</xdr:rowOff>
    </xdr:from>
    <xdr:to>
      <xdr:col>9</xdr:col>
      <xdr:colOff>11736</xdr:colOff>
      <xdr:row>11</xdr:row>
      <xdr:rowOff>79617</xdr:rowOff>
    </xdr:to>
    <xdr:cxnSp macro="">
      <xdr:nvCxnSpPr>
        <xdr:cNvPr id="65" name="Conector reto 64">
          <a:extLst>
            <a:ext uri="{FF2B5EF4-FFF2-40B4-BE49-F238E27FC236}">
              <a16:creationId xmlns:a16="http://schemas.microsoft.com/office/drawing/2014/main" id="{65C3C3BC-966A-4CD6-BBE4-89675334B99B}"/>
            </a:ext>
          </a:extLst>
        </xdr:cNvPr>
        <xdr:cNvCxnSpPr/>
      </xdr:nvCxnSpPr>
      <xdr:spPr>
        <a:xfrm>
          <a:off x="5483545" y="2623617"/>
          <a:ext cx="0" cy="504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48215</xdr:colOff>
      <xdr:row>9</xdr:row>
      <xdr:rowOff>61999</xdr:rowOff>
    </xdr:from>
    <xdr:to>
      <xdr:col>6</xdr:col>
      <xdr:colOff>411295</xdr:colOff>
      <xdr:row>11</xdr:row>
      <xdr:rowOff>42949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B2F53AF7-E1C4-46AD-8B0E-C7D5CD5F4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96087" y="2728999"/>
          <a:ext cx="36308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243214</xdr:colOff>
      <xdr:row>12</xdr:row>
      <xdr:rowOff>138093</xdr:rowOff>
    </xdr:from>
    <xdr:to>
      <xdr:col>6</xdr:col>
      <xdr:colOff>574114</xdr:colOff>
      <xdr:row>14</xdr:row>
      <xdr:rowOff>86806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82B6D9B4-AC9B-4388-A52E-CFCD0852A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2846" y="3376593"/>
          <a:ext cx="330900" cy="329713"/>
        </a:xfrm>
        <a:prstGeom prst="rect">
          <a:avLst/>
        </a:prstGeom>
      </xdr:spPr>
    </xdr:pic>
    <xdr:clientData/>
  </xdr:twoCellAnchor>
  <xdr:twoCellAnchor>
    <xdr:from>
      <xdr:col>9</xdr:col>
      <xdr:colOff>78751</xdr:colOff>
      <xdr:row>12</xdr:row>
      <xdr:rowOff>174564</xdr:rowOff>
    </xdr:from>
    <xdr:to>
      <xdr:col>10</xdr:col>
      <xdr:colOff>362415</xdr:colOff>
      <xdr:row>14</xdr:row>
      <xdr:rowOff>53460</xdr:rowOff>
    </xdr:to>
    <xdr:sp macro="" textlink="Auxiliar!X7">
      <xdr:nvSpPr>
        <xdr:cNvPr id="94" name="CaixaDeTexto 93">
          <a:extLst>
            <a:ext uri="{FF2B5EF4-FFF2-40B4-BE49-F238E27FC236}">
              <a16:creationId xmlns:a16="http://schemas.microsoft.com/office/drawing/2014/main" id="{0E4AF75A-0CF3-4D60-A9D0-B478DF4DF655}"/>
            </a:ext>
          </a:extLst>
        </xdr:cNvPr>
        <xdr:cNvSpPr txBox="1"/>
      </xdr:nvSpPr>
      <xdr:spPr>
        <a:xfrm>
          <a:off x="5556788" y="3413064"/>
          <a:ext cx="892334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8BC50A6-5748-4E1E-80E2-3E1C96D8B530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▲ 125,61%</a:t>
          </a:fld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366588</xdr:colOff>
      <xdr:row>12</xdr:row>
      <xdr:rowOff>173001</xdr:rowOff>
    </xdr:from>
    <xdr:to>
      <xdr:col>8</xdr:col>
      <xdr:colOff>463186</xdr:colOff>
      <xdr:row>14</xdr:row>
      <xdr:rowOff>51897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24BBC64C-1CA2-4367-B52E-BC6B1EA319E0}"/>
            </a:ext>
          </a:extLst>
        </xdr:cNvPr>
        <xdr:cNvSpPr txBox="1"/>
      </xdr:nvSpPr>
      <xdr:spPr>
        <a:xfrm>
          <a:off x="4647825" y="3411501"/>
          <a:ext cx="708203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 baseline="0">
              <a:solidFill>
                <a:schemeClr val="accent6"/>
              </a:solidFill>
              <a:effectLst/>
              <a:latin typeface="Aptos Narrow"/>
              <a:ea typeface="+mn-ea"/>
              <a:cs typeface="+mn-cs"/>
            </a:rPr>
            <a:t>Variação</a:t>
          </a:r>
        </a:p>
      </xdr:txBody>
    </xdr:sp>
    <xdr:clientData/>
  </xdr:twoCellAnchor>
  <xdr:twoCellAnchor>
    <xdr:from>
      <xdr:col>5</xdr:col>
      <xdr:colOff>425575</xdr:colOff>
      <xdr:row>12</xdr:row>
      <xdr:rowOff>85955</xdr:rowOff>
    </xdr:from>
    <xdr:to>
      <xdr:col>11</xdr:col>
      <xdr:colOff>9894</xdr:colOff>
      <xdr:row>14</xdr:row>
      <xdr:rowOff>150531</xdr:rowOff>
    </xdr:to>
    <xdr:sp macro="" textlink="">
      <xdr:nvSpPr>
        <xdr:cNvPr id="103" name="Retângulo 102">
          <a:extLst>
            <a:ext uri="{FF2B5EF4-FFF2-40B4-BE49-F238E27FC236}">
              <a16:creationId xmlns:a16="http://schemas.microsoft.com/office/drawing/2014/main" id="{8D6270B6-635E-4028-9347-53DF9A3FD7C3}"/>
            </a:ext>
          </a:extLst>
        </xdr:cNvPr>
        <xdr:cNvSpPr/>
      </xdr:nvSpPr>
      <xdr:spPr>
        <a:xfrm>
          <a:off x="3483601" y="3324455"/>
          <a:ext cx="3253951" cy="445576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577669</xdr:colOff>
      <xdr:row>8</xdr:row>
      <xdr:rowOff>38719</xdr:rowOff>
    </xdr:from>
    <xdr:to>
      <xdr:col>23</xdr:col>
      <xdr:colOff>165616</xdr:colOff>
      <xdr:row>11</xdr:row>
      <xdr:rowOff>183181</xdr:rowOff>
    </xdr:to>
    <xdr:sp macro="" textlink="">
      <xdr:nvSpPr>
        <xdr:cNvPr id="104" name="Retângulo 103">
          <a:extLst>
            <a:ext uri="{FF2B5EF4-FFF2-40B4-BE49-F238E27FC236}">
              <a16:creationId xmlns:a16="http://schemas.microsoft.com/office/drawing/2014/main" id="{38A80800-2753-40B3-B5E5-DA91B02D836D}"/>
            </a:ext>
          </a:extLst>
        </xdr:cNvPr>
        <xdr:cNvSpPr/>
      </xdr:nvSpPr>
      <xdr:spPr>
        <a:xfrm>
          <a:off x="10987133" y="2515219"/>
          <a:ext cx="3261876" cy="715962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566068</xdr:colOff>
      <xdr:row>6</xdr:row>
      <xdr:rowOff>190145</xdr:rowOff>
    </xdr:from>
    <xdr:to>
      <xdr:col>23</xdr:col>
      <xdr:colOff>176560</xdr:colOff>
      <xdr:row>8</xdr:row>
      <xdr:rowOff>85370</xdr:rowOff>
    </xdr:to>
    <xdr:sp macro="" textlink="">
      <xdr:nvSpPr>
        <xdr:cNvPr id="105" name="Retângulo: Cantos Superiores Arredondados 104">
          <a:extLst>
            <a:ext uri="{FF2B5EF4-FFF2-40B4-BE49-F238E27FC236}">
              <a16:creationId xmlns:a16="http://schemas.microsoft.com/office/drawing/2014/main" id="{3B31145F-0A8E-4D86-B576-4D19E7581A04}"/>
            </a:ext>
          </a:extLst>
        </xdr:cNvPr>
        <xdr:cNvSpPr/>
      </xdr:nvSpPr>
      <xdr:spPr>
        <a:xfrm>
          <a:off x="10913470" y="2285645"/>
          <a:ext cx="3262517" cy="276225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Variação da</a:t>
          </a:r>
          <a:r>
            <a:rPr lang="pt-BR" sz="1100" b="1" baseline="0"/>
            <a:t> Média Mensal</a:t>
          </a:r>
          <a:endParaRPr lang="pt-BR" sz="1100" b="1"/>
        </a:p>
      </xdr:txBody>
    </xdr:sp>
    <xdr:clientData/>
  </xdr:twoCellAnchor>
  <xdr:twoCellAnchor>
    <xdr:from>
      <xdr:col>19</xdr:col>
      <xdr:colOff>389754</xdr:colOff>
      <xdr:row>8</xdr:row>
      <xdr:rowOff>98009</xdr:rowOff>
    </xdr:from>
    <xdr:to>
      <xdr:col>20</xdr:col>
      <xdr:colOff>281452</xdr:colOff>
      <xdr:row>9</xdr:row>
      <xdr:rowOff>167405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26984F1B-E475-41ED-BBEB-5A60A59E4184}"/>
            </a:ext>
          </a:extLst>
        </xdr:cNvPr>
        <xdr:cNvSpPr txBox="1"/>
      </xdr:nvSpPr>
      <xdr:spPr>
        <a:xfrm>
          <a:off x="12035102" y="2574509"/>
          <a:ext cx="50461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</a:p>
      </xdr:txBody>
    </xdr:sp>
    <xdr:clientData/>
  </xdr:twoCellAnchor>
  <xdr:twoCellAnchor>
    <xdr:from>
      <xdr:col>21</xdr:col>
      <xdr:colOff>569666</xdr:colOff>
      <xdr:row>8</xdr:row>
      <xdr:rowOff>98009</xdr:rowOff>
    </xdr:from>
    <xdr:to>
      <xdr:col>22</xdr:col>
      <xdr:colOff>461367</xdr:colOff>
      <xdr:row>9</xdr:row>
      <xdr:rowOff>167405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9D82D4D2-4C82-4827-86A2-C7EC48840571}"/>
            </a:ext>
          </a:extLst>
        </xdr:cNvPr>
        <xdr:cNvSpPr txBox="1"/>
      </xdr:nvSpPr>
      <xdr:spPr>
        <a:xfrm>
          <a:off x="13440840" y="2574509"/>
          <a:ext cx="504614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19</xdr:col>
      <xdr:colOff>228137</xdr:colOff>
      <xdr:row>10</xdr:row>
      <xdr:rowOff>7593</xdr:rowOff>
    </xdr:from>
    <xdr:to>
      <xdr:col>21</xdr:col>
      <xdr:colOff>69879</xdr:colOff>
      <xdr:row>11</xdr:row>
      <xdr:rowOff>76989</xdr:rowOff>
    </xdr:to>
    <xdr:sp macro="" textlink="Auxiliar!V8">
      <xdr:nvSpPr>
        <xdr:cNvPr id="108" name="CaixaDeTexto 107">
          <a:extLst>
            <a:ext uri="{FF2B5EF4-FFF2-40B4-BE49-F238E27FC236}">
              <a16:creationId xmlns:a16="http://schemas.microsoft.com/office/drawing/2014/main" id="{D123496A-D9E8-40EE-BD1A-48C341B7B151}"/>
            </a:ext>
          </a:extLst>
        </xdr:cNvPr>
        <xdr:cNvSpPr txBox="1"/>
      </xdr:nvSpPr>
      <xdr:spPr>
        <a:xfrm>
          <a:off x="11873485" y="2865093"/>
          <a:ext cx="1067568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E4DD361-F302-4FE6-AC07-BEDDF907B037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42.491,14</a:t>
          </a:fld>
          <a:r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371609</xdr:colOff>
      <xdr:row>10</xdr:row>
      <xdr:rowOff>12606</xdr:rowOff>
    </xdr:from>
    <xdr:to>
      <xdr:col>23</xdr:col>
      <xdr:colOff>284327</xdr:colOff>
      <xdr:row>11</xdr:row>
      <xdr:rowOff>82002</xdr:rowOff>
    </xdr:to>
    <xdr:sp macro="" textlink="Auxiliar!W8">
      <xdr:nvSpPr>
        <xdr:cNvPr id="109" name="CaixaDeTexto 108">
          <a:extLst>
            <a:ext uri="{FF2B5EF4-FFF2-40B4-BE49-F238E27FC236}">
              <a16:creationId xmlns:a16="http://schemas.microsoft.com/office/drawing/2014/main" id="{205CAE82-4E79-44CD-8BCE-AD4F6B131814}"/>
            </a:ext>
          </a:extLst>
        </xdr:cNvPr>
        <xdr:cNvSpPr txBox="1"/>
      </xdr:nvSpPr>
      <xdr:spPr>
        <a:xfrm>
          <a:off x="13242783" y="2870106"/>
          <a:ext cx="1138544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A24370F-DC09-4087-A327-0FAD1AE32D3F}" type="TxLink"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pPr marL="0" indent="0" algn="l"/>
            <a:t>41.964,06</a:t>
          </a:fld>
          <a:r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accent2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169279</xdr:colOff>
      <xdr:row>8</xdr:row>
      <xdr:rowOff>147117</xdr:rowOff>
    </xdr:from>
    <xdr:to>
      <xdr:col>21</xdr:col>
      <xdr:colOff>169279</xdr:colOff>
      <xdr:row>11</xdr:row>
      <xdr:rowOff>79617</xdr:rowOff>
    </xdr:to>
    <xdr:cxnSp macro="">
      <xdr:nvCxnSpPr>
        <xdr:cNvPr id="110" name="Conector reto 109">
          <a:extLst>
            <a:ext uri="{FF2B5EF4-FFF2-40B4-BE49-F238E27FC236}">
              <a16:creationId xmlns:a16="http://schemas.microsoft.com/office/drawing/2014/main" id="{6B94F5F0-A2B7-4C1D-A89B-C13DB88D1BB6}"/>
            </a:ext>
          </a:extLst>
        </xdr:cNvPr>
        <xdr:cNvCxnSpPr/>
      </xdr:nvCxnSpPr>
      <xdr:spPr>
        <a:xfrm>
          <a:off x="13040453" y="2623617"/>
          <a:ext cx="0" cy="504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205758</xdr:colOff>
      <xdr:row>9</xdr:row>
      <xdr:rowOff>61999</xdr:rowOff>
    </xdr:from>
    <xdr:to>
      <xdr:col>18</xdr:col>
      <xdr:colOff>568838</xdr:colOff>
      <xdr:row>11</xdr:row>
      <xdr:rowOff>42949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649D46CA-247D-43CF-85D5-76057FC8C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38193" y="2728999"/>
          <a:ext cx="36308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400757</xdr:colOff>
      <xdr:row>12</xdr:row>
      <xdr:rowOff>138093</xdr:rowOff>
    </xdr:from>
    <xdr:to>
      <xdr:col>19</xdr:col>
      <xdr:colOff>118744</xdr:colOff>
      <xdr:row>14</xdr:row>
      <xdr:rowOff>86806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1BC5D789-F6D3-4791-A396-AEBDDC421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3192" y="3376593"/>
          <a:ext cx="330900" cy="329713"/>
        </a:xfrm>
        <a:prstGeom prst="rect">
          <a:avLst/>
        </a:prstGeom>
      </xdr:spPr>
    </xdr:pic>
    <xdr:clientData/>
  </xdr:twoCellAnchor>
  <xdr:twoCellAnchor>
    <xdr:from>
      <xdr:col>21</xdr:col>
      <xdr:colOff>236294</xdr:colOff>
      <xdr:row>12</xdr:row>
      <xdr:rowOff>174564</xdr:rowOff>
    </xdr:from>
    <xdr:to>
      <xdr:col>22</xdr:col>
      <xdr:colOff>399585</xdr:colOff>
      <xdr:row>14</xdr:row>
      <xdr:rowOff>53460</xdr:rowOff>
    </xdr:to>
    <xdr:sp macro="" textlink="Auxiliar!X8">
      <xdr:nvSpPr>
        <xdr:cNvPr id="121" name="CaixaDeTexto 120">
          <a:extLst>
            <a:ext uri="{FF2B5EF4-FFF2-40B4-BE49-F238E27FC236}">
              <a16:creationId xmlns:a16="http://schemas.microsoft.com/office/drawing/2014/main" id="{EB51E75E-0D3F-4936-8073-B7B5760C143A}"/>
            </a:ext>
          </a:extLst>
        </xdr:cNvPr>
        <xdr:cNvSpPr txBox="1"/>
      </xdr:nvSpPr>
      <xdr:spPr>
        <a:xfrm>
          <a:off x="13018379" y="3413064"/>
          <a:ext cx="771962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2D18FA5-1E21-4CC8-B662-29FB297555A8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▼ 1,24%</a:t>
          </a:fld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524131</xdr:colOff>
      <xdr:row>12</xdr:row>
      <xdr:rowOff>173001</xdr:rowOff>
    </xdr:from>
    <xdr:to>
      <xdr:col>21</xdr:col>
      <xdr:colOff>7816</xdr:colOff>
      <xdr:row>14</xdr:row>
      <xdr:rowOff>51897</xdr:rowOff>
    </xdr:to>
    <xdr:sp macro="" textlink="">
      <xdr:nvSpPr>
        <xdr:cNvPr id="122" name="CaixaDeTexto 121">
          <a:extLst>
            <a:ext uri="{FF2B5EF4-FFF2-40B4-BE49-F238E27FC236}">
              <a16:creationId xmlns:a16="http://schemas.microsoft.com/office/drawing/2014/main" id="{BB30B4A0-4E10-47F4-89DF-7A2BD14B5D3E}"/>
            </a:ext>
          </a:extLst>
        </xdr:cNvPr>
        <xdr:cNvSpPr txBox="1"/>
      </xdr:nvSpPr>
      <xdr:spPr>
        <a:xfrm>
          <a:off x="12169479" y="3411501"/>
          <a:ext cx="70951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 baseline="0">
              <a:solidFill>
                <a:schemeClr val="accent6"/>
              </a:solidFill>
              <a:effectLst/>
              <a:latin typeface="Aptos Narrow"/>
              <a:ea typeface="+mn-ea"/>
              <a:cs typeface="+mn-cs"/>
            </a:rPr>
            <a:t>Variação</a:t>
          </a:r>
        </a:p>
      </xdr:txBody>
    </xdr:sp>
    <xdr:clientData/>
  </xdr:twoCellAnchor>
  <xdr:twoCellAnchor>
    <xdr:from>
      <xdr:col>17</xdr:col>
      <xdr:colOff>583118</xdr:colOff>
      <xdr:row>12</xdr:row>
      <xdr:rowOff>85955</xdr:rowOff>
    </xdr:from>
    <xdr:to>
      <xdr:col>23</xdr:col>
      <xdr:colOff>167437</xdr:colOff>
      <xdr:row>14</xdr:row>
      <xdr:rowOff>150531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3CFC571F-D792-4A91-A346-AF5E33AA0640}"/>
            </a:ext>
          </a:extLst>
        </xdr:cNvPr>
        <xdr:cNvSpPr/>
      </xdr:nvSpPr>
      <xdr:spPr>
        <a:xfrm>
          <a:off x="11002640" y="3324455"/>
          <a:ext cx="3261797" cy="445576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551448</xdr:colOff>
      <xdr:row>8</xdr:row>
      <xdr:rowOff>38719</xdr:rowOff>
    </xdr:from>
    <xdr:to>
      <xdr:col>34</xdr:col>
      <xdr:colOff>752308</xdr:colOff>
      <xdr:row>11</xdr:row>
      <xdr:rowOff>183181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1532FB38-C92E-4A04-963C-CBE704A1BCA5}"/>
            </a:ext>
          </a:extLst>
        </xdr:cNvPr>
        <xdr:cNvSpPr/>
      </xdr:nvSpPr>
      <xdr:spPr>
        <a:xfrm>
          <a:off x="18308769" y="2515219"/>
          <a:ext cx="3262468" cy="715962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546651</xdr:colOff>
      <xdr:row>6</xdr:row>
      <xdr:rowOff>190145</xdr:rowOff>
    </xdr:from>
    <xdr:to>
      <xdr:col>34</xdr:col>
      <xdr:colOff>762157</xdr:colOff>
      <xdr:row>8</xdr:row>
      <xdr:rowOff>85370</xdr:rowOff>
    </xdr:to>
    <xdr:sp macro="" textlink="">
      <xdr:nvSpPr>
        <xdr:cNvPr id="125" name="Retângulo: Cantos Superiores Arredondados 124">
          <a:extLst>
            <a:ext uri="{FF2B5EF4-FFF2-40B4-BE49-F238E27FC236}">
              <a16:creationId xmlns:a16="http://schemas.microsoft.com/office/drawing/2014/main" id="{AE77DB8E-5940-419C-8C51-4CE324ACBB7F}"/>
            </a:ext>
          </a:extLst>
        </xdr:cNvPr>
        <xdr:cNvSpPr/>
      </xdr:nvSpPr>
      <xdr:spPr>
        <a:xfrm>
          <a:off x="18303972" y="2285645"/>
          <a:ext cx="3277114" cy="276225"/>
        </a:xfrm>
        <a:prstGeom prst="round2SameRect">
          <a:avLst>
            <a:gd name="adj1" fmla="val 50000"/>
            <a:gd name="adj2" fmla="val 0"/>
          </a:avLst>
        </a:prstGeom>
        <a:solidFill>
          <a:schemeClr val="bg2">
            <a:lumMod val="50000"/>
          </a:schemeClr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Variação da</a:t>
          </a:r>
          <a:r>
            <a:rPr lang="pt-BR" sz="1100" b="1" baseline="0"/>
            <a:t> Média Mensal</a:t>
          </a:r>
          <a:endParaRPr lang="pt-BR" sz="1100" b="1"/>
        </a:p>
      </xdr:txBody>
    </xdr:sp>
    <xdr:clientData/>
  </xdr:twoCellAnchor>
  <xdr:twoCellAnchor>
    <xdr:from>
      <xdr:col>31</xdr:col>
      <xdr:colOff>360131</xdr:colOff>
      <xdr:row>8</xdr:row>
      <xdr:rowOff>90289</xdr:rowOff>
    </xdr:from>
    <xdr:to>
      <xdr:col>32</xdr:col>
      <xdr:colOff>251829</xdr:colOff>
      <xdr:row>9</xdr:row>
      <xdr:rowOff>159685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93E68E1F-226D-4FA1-A22E-C12AE6BDE8F9}"/>
            </a:ext>
          </a:extLst>
        </xdr:cNvPr>
        <xdr:cNvSpPr txBox="1"/>
      </xdr:nvSpPr>
      <xdr:spPr>
        <a:xfrm>
          <a:off x="19360435" y="2566789"/>
          <a:ext cx="50461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2025</a:t>
          </a:r>
        </a:p>
      </xdr:txBody>
    </xdr:sp>
    <xdr:clientData/>
  </xdr:twoCellAnchor>
  <xdr:twoCellAnchor>
    <xdr:from>
      <xdr:col>33</xdr:col>
      <xdr:colOff>540043</xdr:colOff>
      <xdr:row>8</xdr:row>
      <xdr:rowOff>90289</xdr:rowOff>
    </xdr:from>
    <xdr:to>
      <xdr:col>34</xdr:col>
      <xdr:colOff>431744</xdr:colOff>
      <xdr:row>9</xdr:row>
      <xdr:rowOff>159685</xdr:rowOff>
    </xdr:to>
    <xdr:sp macro="" textlink="">
      <xdr:nvSpPr>
        <xdr:cNvPr id="127" name="CaixaDeTexto 126">
          <a:extLst>
            <a:ext uri="{FF2B5EF4-FFF2-40B4-BE49-F238E27FC236}">
              <a16:creationId xmlns:a16="http://schemas.microsoft.com/office/drawing/2014/main" id="{F733EF85-958F-42D4-B323-06347CFA42B2}"/>
            </a:ext>
          </a:extLst>
        </xdr:cNvPr>
        <xdr:cNvSpPr txBox="1"/>
      </xdr:nvSpPr>
      <xdr:spPr>
        <a:xfrm>
          <a:off x="20766173" y="2566789"/>
          <a:ext cx="504614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 baseline="0">
              <a:solidFill>
                <a:schemeClr val="bg2">
                  <a:lumMod val="25000"/>
                </a:schemeClr>
              </a:solidFill>
              <a:effectLst/>
              <a:latin typeface="+mn-lt"/>
              <a:ea typeface="+mn-ea"/>
              <a:cs typeface="+mn-cs"/>
            </a:rPr>
            <a:t>2026</a:t>
          </a:r>
        </a:p>
      </xdr:txBody>
    </xdr:sp>
    <xdr:clientData/>
  </xdr:twoCellAnchor>
  <xdr:twoCellAnchor>
    <xdr:from>
      <xdr:col>31</xdr:col>
      <xdr:colOff>198514</xdr:colOff>
      <xdr:row>9</xdr:row>
      <xdr:rowOff>190373</xdr:rowOff>
    </xdr:from>
    <xdr:to>
      <xdr:col>33</xdr:col>
      <xdr:colOff>40256</xdr:colOff>
      <xdr:row>11</xdr:row>
      <xdr:rowOff>69269</xdr:rowOff>
    </xdr:to>
    <xdr:sp macro="" textlink="Auxiliar!V9">
      <xdr:nvSpPr>
        <xdr:cNvPr id="128" name="CaixaDeTexto 127">
          <a:extLst>
            <a:ext uri="{FF2B5EF4-FFF2-40B4-BE49-F238E27FC236}">
              <a16:creationId xmlns:a16="http://schemas.microsoft.com/office/drawing/2014/main" id="{A16D5E5A-2DEF-4B14-85BD-FB3E5811592E}"/>
            </a:ext>
          </a:extLst>
        </xdr:cNvPr>
        <xdr:cNvSpPr txBox="1"/>
      </xdr:nvSpPr>
      <xdr:spPr>
        <a:xfrm>
          <a:off x="19198818" y="2857373"/>
          <a:ext cx="1067568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AEE56FD-F66C-41DA-BC4C-2C01093D2D2F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115.648,23</a:t>
          </a:fld>
          <a:r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341986</xdr:colOff>
      <xdr:row>10</xdr:row>
      <xdr:rowOff>4886</xdr:rowOff>
    </xdr:from>
    <xdr:to>
      <xdr:col>35</xdr:col>
      <xdr:colOff>64203</xdr:colOff>
      <xdr:row>11</xdr:row>
      <xdr:rowOff>74282</xdr:rowOff>
    </xdr:to>
    <xdr:sp macro="" textlink="Auxiliar!W9">
      <xdr:nvSpPr>
        <xdr:cNvPr id="129" name="CaixaDeTexto 128">
          <a:extLst>
            <a:ext uri="{FF2B5EF4-FFF2-40B4-BE49-F238E27FC236}">
              <a16:creationId xmlns:a16="http://schemas.microsoft.com/office/drawing/2014/main" id="{1A8EAF50-960E-4D5F-B672-2F1BE5662041}"/>
            </a:ext>
          </a:extLst>
        </xdr:cNvPr>
        <xdr:cNvSpPr txBox="1"/>
      </xdr:nvSpPr>
      <xdr:spPr>
        <a:xfrm>
          <a:off x="20568116" y="2862386"/>
          <a:ext cx="1138544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D1C3EAFF-9411-4C52-A731-C35F60FE5231}" type="TxLink"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pPr marL="0" indent="0" algn="l"/>
            <a:t>173.493,84</a:t>
          </a:fld>
          <a:r>
            <a:rPr lang="en-US" sz="1100" b="1" i="0" u="none" strike="noStrike" baseline="0">
              <a:solidFill>
                <a:schemeClr val="accent2"/>
              </a:solidFill>
              <a:effectLst/>
              <a:latin typeface="Aptos Narrow"/>
              <a:ea typeface="+mn-ea"/>
              <a:cs typeface="+mn-cs"/>
            </a:rPr>
            <a:t> m³</a:t>
          </a:r>
          <a:endParaRPr lang="pt-BR" sz="1100" b="1" i="0" u="none" strike="noStrike" baseline="0">
            <a:solidFill>
              <a:schemeClr val="accent2"/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139656</xdr:colOff>
      <xdr:row>8</xdr:row>
      <xdr:rowOff>139397</xdr:rowOff>
    </xdr:from>
    <xdr:to>
      <xdr:col>33</xdr:col>
      <xdr:colOff>139656</xdr:colOff>
      <xdr:row>11</xdr:row>
      <xdr:rowOff>71897</xdr:rowOff>
    </xdr:to>
    <xdr:cxnSp macro="">
      <xdr:nvCxnSpPr>
        <xdr:cNvPr id="130" name="Conector reto 129">
          <a:extLst>
            <a:ext uri="{FF2B5EF4-FFF2-40B4-BE49-F238E27FC236}">
              <a16:creationId xmlns:a16="http://schemas.microsoft.com/office/drawing/2014/main" id="{1F678215-EBD9-4CE5-B676-BE619B2544E2}"/>
            </a:ext>
          </a:extLst>
        </xdr:cNvPr>
        <xdr:cNvCxnSpPr/>
      </xdr:nvCxnSpPr>
      <xdr:spPr>
        <a:xfrm>
          <a:off x="20365786" y="2615897"/>
          <a:ext cx="0" cy="504000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176135</xdr:colOff>
      <xdr:row>9</xdr:row>
      <xdr:rowOff>54279</xdr:rowOff>
    </xdr:from>
    <xdr:to>
      <xdr:col>30</xdr:col>
      <xdr:colOff>539215</xdr:colOff>
      <xdr:row>11</xdr:row>
      <xdr:rowOff>35229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DDBA5EB3-4592-4BF3-814D-8F4A41B1B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63526" y="2721279"/>
          <a:ext cx="36308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30</xdr:col>
      <xdr:colOff>371134</xdr:colOff>
      <xdr:row>12</xdr:row>
      <xdr:rowOff>130373</xdr:rowOff>
    </xdr:from>
    <xdr:to>
      <xdr:col>31</xdr:col>
      <xdr:colOff>89121</xdr:colOff>
      <xdr:row>14</xdr:row>
      <xdr:rowOff>79086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DB5056FD-1845-44CF-AAC5-1FFFAD579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58525" y="3368873"/>
          <a:ext cx="330900" cy="329713"/>
        </a:xfrm>
        <a:prstGeom prst="rect">
          <a:avLst/>
        </a:prstGeom>
      </xdr:spPr>
    </xdr:pic>
    <xdr:clientData/>
  </xdr:twoCellAnchor>
  <xdr:twoCellAnchor>
    <xdr:from>
      <xdr:col>33</xdr:col>
      <xdr:colOff>206671</xdr:colOff>
      <xdr:row>12</xdr:row>
      <xdr:rowOff>166844</xdr:rowOff>
    </xdr:from>
    <xdr:to>
      <xdr:col>34</xdr:col>
      <xdr:colOff>432110</xdr:colOff>
      <xdr:row>14</xdr:row>
      <xdr:rowOff>45740</xdr:rowOff>
    </xdr:to>
    <xdr:sp macro="" textlink="Auxiliar!X9">
      <xdr:nvSpPr>
        <xdr:cNvPr id="133" name="CaixaDeTexto 132">
          <a:extLst>
            <a:ext uri="{FF2B5EF4-FFF2-40B4-BE49-F238E27FC236}">
              <a16:creationId xmlns:a16="http://schemas.microsoft.com/office/drawing/2014/main" id="{4E069E6E-F53A-47BB-828B-8036C5A1EA1C}"/>
            </a:ext>
          </a:extLst>
        </xdr:cNvPr>
        <xdr:cNvSpPr txBox="1"/>
      </xdr:nvSpPr>
      <xdr:spPr>
        <a:xfrm>
          <a:off x="20292805" y="3405344"/>
          <a:ext cx="834110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999D355B-3DFE-4D9F-B70A-253195AE078B}" type="TxLink">
            <a:rPr lang="en-US" sz="1100" b="1" i="0" u="none" strike="noStrike" baseline="0">
              <a:solidFill>
                <a:schemeClr val="bg2">
                  <a:lumMod val="50000"/>
                </a:schemeClr>
              </a:solidFill>
              <a:effectLst/>
              <a:latin typeface="Aptos Narrow"/>
              <a:ea typeface="+mn-ea"/>
              <a:cs typeface="+mn-cs"/>
            </a:rPr>
            <a:pPr marL="0" indent="0" algn="l"/>
            <a:t>▲ 50,02%</a:t>
          </a:fld>
          <a:endParaRPr lang="pt-BR" sz="1100" b="1" i="0" u="none" strike="noStrike" baseline="0">
            <a:solidFill>
              <a:schemeClr val="bg2">
                <a:lumMod val="50000"/>
              </a:schemeClr>
            </a:solidFill>
            <a:effectLst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494508</xdr:colOff>
      <xdr:row>12</xdr:row>
      <xdr:rowOff>165281</xdr:rowOff>
    </xdr:from>
    <xdr:to>
      <xdr:col>32</xdr:col>
      <xdr:colOff>591106</xdr:colOff>
      <xdr:row>14</xdr:row>
      <xdr:rowOff>44177</xdr:rowOff>
    </xdr:to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BD714DD6-9C6E-4D3E-9DBA-79CC60ACB909}"/>
            </a:ext>
          </a:extLst>
        </xdr:cNvPr>
        <xdr:cNvSpPr txBox="1"/>
      </xdr:nvSpPr>
      <xdr:spPr>
        <a:xfrm>
          <a:off x="19494812" y="3403781"/>
          <a:ext cx="709511" cy="259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i="0" u="none" strike="noStrike" baseline="0">
              <a:solidFill>
                <a:schemeClr val="accent6"/>
              </a:solidFill>
              <a:effectLst/>
              <a:latin typeface="Aptos Narrow"/>
              <a:ea typeface="+mn-ea"/>
              <a:cs typeface="+mn-cs"/>
            </a:rPr>
            <a:t>Variação</a:t>
          </a:r>
        </a:p>
      </xdr:txBody>
    </xdr:sp>
    <xdr:clientData/>
  </xdr:twoCellAnchor>
  <xdr:twoCellAnchor>
    <xdr:from>
      <xdr:col>29</xdr:col>
      <xdr:colOff>553495</xdr:colOff>
      <xdr:row>12</xdr:row>
      <xdr:rowOff>78235</xdr:rowOff>
    </xdr:from>
    <xdr:to>
      <xdr:col>34</xdr:col>
      <xdr:colOff>750727</xdr:colOff>
      <xdr:row>14</xdr:row>
      <xdr:rowOff>142811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7ED48DD1-D759-4699-A340-4408AAE55F0C}"/>
            </a:ext>
          </a:extLst>
        </xdr:cNvPr>
        <xdr:cNvSpPr/>
      </xdr:nvSpPr>
      <xdr:spPr>
        <a:xfrm>
          <a:off x="18327973" y="3316735"/>
          <a:ext cx="3261797" cy="445576"/>
        </a:xfrm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244929</xdr:colOff>
      <xdr:row>1</xdr:row>
      <xdr:rowOff>68038</xdr:rowOff>
    </xdr:from>
    <xdr:to>
      <xdr:col>2</xdr:col>
      <xdr:colOff>571502</xdr:colOff>
      <xdr:row>4</xdr:row>
      <xdr:rowOff>171658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77DCC4CD-E8F6-C697-B221-DBD4D31649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751" t="22226" r="31229" b="22049"/>
        <a:stretch>
          <a:fillRect/>
        </a:stretch>
      </xdr:blipFill>
      <xdr:spPr>
        <a:xfrm>
          <a:off x="244929" y="1211038"/>
          <a:ext cx="1551216" cy="675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21430</xdr:colOff>
      <xdr:row>5</xdr:row>
      <xdr:rowOff>27384</xdr:rowOff>
    </xdr:from>
    <xdr:to>
      <xdr:col>16</xdr:col>
      <xdr:colOff>440530</xdr:colOff>
      <xdr:row>15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B8FC5A1-C2A8-A678-B19F-E4EB37A96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14883</xdr:colOff>
      <xdr:row>19</xdr:row>
      <xdr:rowOff>155376</xdr:rowOff>
    </xdr:from>
    <xdr:to>
      <xdr:col>18</xdr:col>
      <xdr:colOff>74414</xdr:colOff>
      <xdr:row>34</xdr:row>
      <xdr:rowOff>41076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3A1CF3-ACEA-EDF2-D4B9-FBC52A140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39</xdr:row>
      <xdr:rowOff>4762</xdr:rowOff>
    </xdr:from>
    <xdr:to>
      <xdr:col>18</xdr:col>
      <xdr:colOff>57150</xdr:colOff>
      <xdr:row>53</xdr:row>
      <xdr:rowOff>80962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1E9C336-2D80-3FE2-C42B-F91571550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21430</xdr:colOff>
      <xdr:row>5</xdr:row>
      <xdr:rowOff>27384</xdr:rowOff>
    </xdr:from>
    <xdr:to>
      <xdr:col>16</xdr:col>
      <xdr:colOff>440530</xdr:colOff>
      <xdr:row>15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D71705-CFF4-4938-B6D0-B1673F509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14883</xdr:colOff>
      <xdr:row>19</xdr:row>
      <xdr:rowOff>155376</xdr:rowOff>
    </xdr:from>
    <xdr:to>
      <xdr:col>18</xdr:col>
      <xdr:colOff>74414</xdr:colOff>
      <xdr:row>34</xdr:row>
      <xdr:rowOff>41076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B11E7B-4236-4CDC-8D48-4F5803B53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39</xdr:row>
      <xdr:rowOff>4762</xdr:rowOff>
    </xdr:from>
    <xdr:to>
      <xdr:col>18</xdr:col>
      <xdr:colOff>57150</xdr:colOff>
      <xdr:row>53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A7A999D-A766-4CDD-9505-0ED7911CE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605116</xdr:colOff>
      <xdr:row>3</xdr:row>
      <xdr:rowOff>185737</xdr:rowOff>
    </xdr:from>
    <xdr:to>
      <xdr:col>16</xdr:col>
      <xdr:colOff>280146</xdr:colOff>
      <xdr:row>18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0C9960-9254-DE0E-025C-046687038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22</xdr:row>
      <xdr:rowOff>0</xdr:rowOff>
    </xdr:from>
    <xdr:to>
      <xdr:col>16</xdr:col>
      <xdr:colOff>302557</xdr:colOff>
      <xdr:row>36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BC739EE-5CC6-49CD-B892-F1BDA8220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16</xdr:col>
      <xdr:colOff>347382</xdr:colOff>
      <xdr:row>54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5FB9D7-5F72-442B-9509-183FA5778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9E275-5B07-4D14-BCA7-34AD2392F2F1}" name="tbTratamento" displayName="tbTratamento" ref="V7:Z79" totalsRowShown="0" headerRowDxfId="21" dataDxfId="20">
  <autoFilter ref="V7:Z79" xr:uid="{6CB9E275-5B07-4D14-BCA7-34AD2392F2F1}"/>
  <tableColumns count="5">
    <tableColumn id="1" xr3:uid="{8579E2B9-2BB3-4831-97E2-FA2F2A5E8525}" name="Estrutura" dataDxfId="19"/>
    <tableColumn id="2" xr3:uid="{083F0DE2-EEFC-4360-96B4-1A678A776456}" name="Ano" dataDxfId="18"/>
    <tableColumn id="3" xr3:uid="{9760A3E2-BE20-435E-9BE3-74A3C393F34E}" name="Mês" dataDxfId="17"/>
    <tableColumn id="4" xr3:uid="{AA686C2F-BF4D-455C-9427-83AB53387F8A}" name="Nº Mês" dataDxfId="16"/>
    <tableColumn id="5" xr3:uid="{34733218-ED82-4966-98D7-108B5A7F3AF3}" name="Volume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0B5331-C8DA-4DEF-BF48-1FECC4C762D8}" name="Tabela2" displayName="Tabela2" ref="D5:F17" totalsRowShown="0" dataDxfId="14">
  <autoFilter ref="D5:F17" xr:uid="{E00B5331-C8DA-4DEF-BF48-1FECC4C762D8}"/>
  <tableColumns count="3">
    <tableColumn id="1" xr3:uid="{38E9A3E4-D13A-44A8-ADEE-9CDE7EAF2E13}" name="Mês" dataDxfId="13" totalsRowDxfId="12"/>
    <tableColumn id="2" xr3:uid="{8459E880-F975-454D-8E79-C685EA655DC4}" name="2025    " dataDxfId="11" totalsRowDxfId="10"/>
    <tableColumn id="3" xr3:uid="{CB58D50E-E24A-4930-999B-8E167777740E}" name="2026    " dataDxfId="9" totalsRow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476745-C0E9-47B1-866C-C322DCFC9D06}" name="Tabela3" displayName="Tabela3" ref="D22:F34" totalsRowShown="0" dataDxfId="7">
  <autoFilter ref="D22:F34" xr:uid="{6E476745-C0E9-47B1-866C-C322DCFC9D06}"/>
  <tableColumns count="3">
    <tableColumn id="1" xr3:uid="{F967336A-3940-418A-A442-3BF5133E5167}" name="Mês" dataDxfId="6"/>
    <tableColumn id="2" xr3:uid="{52DE5F5D-6305-4FAC-AE8E-B850525DA6B5}" name="2025    " dataDxfId="5"/>
    <tableColumn id="3" xr3:uid="{37209AE9-5B26-4890-86EA-89FEA8BBC0EE}" name="2026    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D98E22-F262-42FD-940B-29166DE7DF89}" name="Tabela4" displayName="Tabela4" ref="D40:F52" totalsRowShown="0" dataDxfId="3">
  <autoFilter ref="D40:F52" xr:uid="{2CD98E22-F262-42FD-940B-29166DE7DF89}"/>
  <tableColumns count="3">
    <tableColumn id="1" xr3:uid="{A8B26874-DC4B-4AA2-9C66-09FED2F957BB}" name="Mês" dataDxfId="2"/>
    <tableColumn id="2" xr3:uid="{919D3201-049B-4185-8717-06881361830B}" name="2025    " dataDxfId="1"/>
    <tableColumn id="3" xr3:uid="{550E21DB-09D1-4C94-9C1D-F1C5DB7CB6D8}" name="2026  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5EFF-F003-4BD3-8B08-FD0431105EB8}">
  <dimension ref="AF1:AI22"/>
  <sheetViews>
    <sheetView showGridLines="0" tabSelected="1" view="pageBreakPreview" zoomScale="55" zoomScaleNormal="100" zoomScaleSheetLayoutView="55" workbookViewId="0">
      <selection activeCell="U43" sqref="U43"/>
    </sheetView>
  </sheetViews>
  <sheetFormatPr defaultRowHeight="14.4" x14ac:dyDescent="0.3"/>
  <cols>
    <col min="35" max="35" width="12" bestFit="1" customWidth="1"/>
  </cols>
  <sheetData>
    <row r="1" spans="32:32" x14ac:dyDescent="0.3">
      <c r="AF1" t="s">
        <v>0</v>
      </c>
    </row>
    <row r="22" spans="35:35" x14ac:dyDescent="0.3">
      <c r="AI22" s="4"/>
    </row>
  </sheetData>
  <pageMargins left="0.511811024" right="0.511811024" top="0.78740157499999996" bottom="0.78740157499999996" header="0.31496062000000002" footer="0.31496062000000002"/>
  <pageSetup paperSize="9" scale="2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AF65-0F71-4B9A-B8C0-F4871C3D7191}">
  <dimension ref="D4:N53"/>
  <sheetViews>
    <sheetView zoomScale="70" zoomScaleNormal="70" workbookViewId="0">
      <selection activeCell="J9" sqref="J9"/>
    </sheetView>
  </sheetViews>
  <sheetFormatPr defaultRowHeight="14.4" x14ac:dyDescent="0.3"/>
  <cols>
    <col min="4" max="4" width="11.33203125" style="2" customWidth="1"/>
    <col min="5" max="5" width="12" style="2" bestFit="1" customWidth="1"/>
    <col min="6" max="6" width="12.109375" style="2" bestFit="1" customWidth="1"/>
    <col min="7" max="7" width="9.109375" style="2"/>
    <col min="8" max="8" width="10.109375" style="2" bestFit="1" customWidth="1"/>
    <col min="9" max="9" width="14" style="2" customWidth="1"/>
    <col min="10" max="10" width="12" style="2" bestFit="1" customWidth="1"/>
    <col min="13" max="13" width="10.109375" bestFit="1" customWidth="1"/>
    <col min="14" max="14" width="12" bestFit="1" customWidth="1"/>
  </cols>
  <sheetData>
    <row r="4" spans="4:14" x14ac:dyDescent="0.3">
      <c r="D4" s="16"/>
      <c r="E4" s="16"/>
      <c r="H4" s="16" t="s">
        <v>1</v>
      </c>
      <c r="I4" s="16"/>
      <c r="J4" s="16"/>
      <c r="K4" s="2"/>
      <c r="M4" s="17"/>
      <c r="N4" s="17"/>
    </row>
    <row r="5" spans="4:14" x14ac:dyDescent="0.3">
      <c r="D5" s="3"/>
      <c r="E5" s="3"/>
      <c r="H5" s="3" t="s">
        <v>4</v>
      </c>
      <c r="I5" s="5">
        <v>2025</v>
      </c>
      <c r="J5" s="5">
        <v>2026</v>
      </c>
      <c r="M5" s="1"/>
      <c r="N5" s="1"/>
    </row>
    <row r="6" spans="4:14" x14ac:dyDescent="0.3">
      <c r="D6" s="3"/>
      <c r="E6" s="3"/>
      <c r="H6" s="3" t="s">
        <v>5</v>
      </c>
      <c r="I6" s="3"/>
      <c r="J6" s="3">
        <v>0</v>
      </c>
      <c r="M6" s="1"/>
      <c r="N6" s="1"/>
    </row>
    <row r="7" spans="4:14" x14ac:dyDescent="0.3">
      <c r="D7" s="3"/>
      <c r="E7" s="3"/>
      <c r="H7" s="3" t="s">
        <v>6</v>
      </c>
      <c r="I7" s="3"/>
      <c r="J7" s="3">
        <v>52895.6</v>
      </c>
      <c r="M7" s="1"/>
      <c r="N7" s="1"/>
    </row>
    <row r="8" spans="4:14" x14ac:dyDescent="0.3">
      <c r="D8" s="3"/>
      <c r="E8" s="3"/>
      <c r="H8" s="3" t="s">
        <v>7</v>
      </c>
      <c r="I8" s="3"/>
      <c r="J8" s="3">
        <v>73198.27</v>
      </c>
      <c r="M8" s="1"/>
      <c r="N8" s="1"/>
    </row>
    <row r="9" spans="4:14" x14ac:dyDescent="0.3">
      <c r="D9" s="3"/>
      <c r="E9" s="3"/>
      <c r="H9" s="3" t="s">
        <v>8</v>
      </c>
      <c r="I9" s="3"/>
      <c r="J9" s="3">
        <v>92392.2</v>
      </c>
      <c r="M9" s="1"/>
      <c r="N9" s="1"/>
    </row>
    <row r="10" spans="4:14" x14ac:dyDescent="0.3">
      <c r="D10" s="3"/>
      <c r="E10" s="3"/>
      <c r="H10" s="3" t="s">
        <v>9</v>
      </c>
      <c r="I10" s="3">
        <v>55217.17</v>
      </c>
      <c r="J10" s="3">
        <v>85426.75</v>
      </c>
      <c r="M10" s="1"/>
      <c r="N10" s="1"/>
    </row>
    <row r="11" spans="4:14" x14ac:dyDescent="0.3">
      <c r="D11" s="3"/>
      <c r="E11" s="3"/>
      <c r="H11" s="3" t="s">
        <v>10</v>
      </c>
      <c r="I11" s="3">
        <v>36103.99</v>
      </c>
      <c r="J11" s="3">
        <v>59008.98</v>
      </c>
      <c r="M11" s="1"/>
      <c r="N11" s="1"/>
    </row>
    <row r="12" spans="4:14" x14ac:dyDescent="0.3">
      <c r="D12" s="3"/>
      <c r="E12" s="3"/>
      <c r="F12" s="3"/>
      <c r="H12" s="3" t="s">
        <v>11</v>
      </c>
      <c r="I12" s="3">
        <v>91668.84</v>
      </c>
      <c r="J12" s="3">
        <v>107075.8</v>
      </c>
      <c r="M12" s="1"/>
      <c r="N12" s="1"/>
    </row>
    <row r="13" spans="4:14" x14ac:dyDescent="0.3">
      <c r="D13" s="3"/>
      <c r="E13" s="3"/>
      <c r="F13" s="3"/>
      <c r="H13" s="3" t="s">
        <v>12</v>
      </c>
      <c r="I13" s="3">
        <v>2295.8200000000002</v>
      </c>
      <c r="J13" s="3">
        <v>112007.19</v>
      </c>
      <c r="M13" s="1"/>
      <c r="N13" s="1"/>
    </row>
    <row r="14" spans="4:14" x14ac:dyDescent="0.3">
      <c r="D14" s="3"/>
      <c r="E14" s="3"/>
      <c r="H14" s="3" t="s">
        <v>13</v>
      </c>
      <c r="I14" s="3">
        <v>195.71</v>
      </c>
      <c r="J14" s="3"/>
      <c r="M14" s="1"/>
      <c r="N14" s="1"/>
    </row>
    <row r="15" spans="4:14" x14ac:dyDescent="0.3">
      <c r="D15" s="3"/>
      <c r="E15" s="3"/>
      <c r="H15" s="3" t="s">
        <v>14</v>
      </c>
      <c r="I15" s="3">
        <v>54486.65</v>
      </c>
      <c r="J15" s="3"/>
      <c r="M15" s="1"/>
      <c r="N15" s="1"/>
    </row>
    <row r="16" spans="4:14" x14ac:dyDescent="0.3">
      <c r="D16" s="3"/>
      <c r="E16" s="3"/>
      <c r="H16" s="3" t="s">
        <v>15</v>
      </c>
      <c r="I16" s="3">
        <v>16065.01</v>
      </c>
      <c r="J16" s="3"/>
      <c r="M16" s="1"/>
      <c r="N16" s="1"/>
    </row>
    <row r="17" spans="4:14" x14ac:dyDescent="0.3">
      <c r="D17" s="3"/>
      <c r="E17" s="3"/>
      <c r="H17" s="3" t="s">
        <v>16</v>
      </c>
      <c r="I17" s="3">
        <v>1935.31</v>
      </c>
      <c r="J17" s="3"/>
      <c r="M17" s="1"/>
      <c r="N17" s="1"/>
    </row>
    <row r="18" spans="4:14" x14ac:dyDescent="0.3">
      <c r="D18" s="3"/>
      <c r="E18" s="3"/>
    </row>
    <row r="19" spans="4:14" x14ac:dyDescent="0.3">
      <c r="D19" s="3"/>
      <c r="E19" s="3"/>
    </row>
    <row r="20" spans="4:14" x14ac:dyDescent="0.3">
      <c r="D20" s="3"/>
      <c r="E20" s="3"/>
    </row>
    <row r="21" spans="4:14" x14ac:dyDescent="0.3">
      <c r="D21" s="3"/>
      <c r="E21" s="3"/>
    </row>
    <row r="22" spans="4:14" x14ac:dyDescent="0.3">
      <c r="D22" s="16"/>
      <c r="E22" s="16"/>
      <c r="H22" s="16" t="s">
        <v>2</v>
      </c>
      <c r="I22" s="16"/>
      <c r="J22" s="16"/>
    </row>
    <row r="23" spans="4:14" x14ac:dyDescent="0.3">
      <c r="D23" s="3"/>
      <c r="E23" s="3"/>
      <c r="H23" s="3" t="s">
        <v>4</v>
      </c>
      <c r="I23" s="5">
        <v>2025</v>
      </c>
      <c r="J23" s="5">
        <v>2026</v>
      </c>
    </row>
    <row r="24" spans="4:14" x14ac:dyDescent="0.3">
      <c r="D24" s="3"/>
      <c r="E24" s="3"/>
      <c r="H24" s="3" t="s">
        <v>5</v>
      </c>
      <c r="I24" s="3"/>
      <c r="J24" s="3">
        <v>50004.639999999999</v>
      </c>
    </row>
    <row r="25" spans="4:14" x14ac:dyDescent="0.3">
      <c r="D25" s="3"/>
      <c r="E25" s="3"/>
      <c r="H25" s="3" t="s">
        <v>6</v>
      </c>
      <c r="I25" s="3"/>
      <c r="J25" s="3">
        <v>49523.67</v>
      </c>
    </row>
    <row r="26" spans="4:14" x14ac:dyDescent="0.3">
      <c r="D26" s="3"/>
      <c r="E26" s="3"/>
      <c r="H26" s="3" t="s">
        <v>7</v>
      </c>
      <c r="I26" s="3">
        <v>59367.6</v>
      </c>
      <c r="J26" s="3">
        <v>70278.929999999993</v>
      </c>
    </row>
    <row r="27" spans="4:14" x14ac:dyDescent="0.3">
      <c r="D27" s="3"/>
      <c r="E27" s="3"/>
      <c r="H27" s="3" t="s">
        <v>8</v>
      </c>
      <c r="I27" s="3">
        <v>34257.360000000001</v>
      </c>
      <c r="J27" s="3">
        <v>70985.3</v>
      </c>
    </row>
    <row r="28" spans="4:14" x14ac:dyDescent="0.3">
      <c r="D28" s="3"/>
      <c r="E28" s="3"/>
      <c r="H28" s="3" t="s">
        <v>9</v>
      </c>
      <c r="I28" s="3">
        <v>8633.5400000000009</v>
      </c>
      <c r="J28" s="3">
        <v>41187.379999999997</v>
      </c>
    </row>
    <row r="29" spans="4:14" x14ac:dyDescent="0.3">
      <c r="D29" s="3"/>
      <c r="E29" s="3"/>
      <c r="H29" s="3" t="s">
        <v>10</v>
      </c>
      <c r="I29" s="3">
        <v>86867.68</v>
      </c>
      <c r="J29" s="3">
        <v>35993.910000000003</v>
      </c>
    </row>
    <row r="30" spans="4:14" x14ac:dyDescent="0.3">
      <c r="D30" s="3"/>
      <c r="E30" s="3"/>
      <c r="H30" s="3" t="s">
        <v>11</v>
      </c>
      <c r="I30" s="3">
        <v>52410.15</v>
      </c>
      <c r="J30" s="3">
        <v>10553.25</v>
      </c>
    </row>
    <row r="31" spans="4:14" x14ac:dyDescent="0.3">
      <c r="D31" s="3"/>
      <c r="E31" s="3"/>
      <c r="H31" s="3" t="s">
        <v>12</v>
      </c>
      <c r="I31" s="3">
        <v>13599.8</v>
      </c>
      <c r="J31" s="3">
        <v>7185.43</v>
      </c>
    </row>
    <row r="32" spans="4:14" x14ac:dyDescent="0.3">
      <c r="D32" s="3"/>
      <c r="E32" s="3"/>
      <c r="H32" s="3" t="s">
        <v>13</v>
      </c>
      <c r="I32" s="3">
        <v>54017.73</v>
      </c>
      <c r="J32" s="3"/>
    </row>
    <row r="33" spans="4:10" x14ac:dyDescent="0.3">
      <c r="D33" s="3"/>
      <c r="E33" s="3"/>
      <c r="H33" s="3" t="s">
        <v>14</v>
      </c>
      <c r="I33" s="3">
        <v>28863.25</v>
      </c>
      <c r="J33" s="3"/>
    </row>
    <row r="34" spans="4:10" x14ac:dyDescent="0.3">
      <c r="D34" s="3"/>
      <c r="E34" s="3"/>
      <c r="H34" s="3" t="s">
        <v>15</v>
      </c>
      <c r="I34" s="3">
        <v>26076.77</v>
      </c>
      <c r="J34" s="3"/>
    </row>
    <row r="35" spans="4:10" x14ac:dyDescent="0.3">
      <c r="D35" s="3"/>
      <c r="E35" s="3"/>
      <c r="H35" s="3" t="s">
        <v>16</v>
      </c>
      <c r="I35" s="3">
        <v>60817.51</v>
      </c>
      <c r="J35" s="3"/>
    </row>
    <row r="40" spans="4:10" x14ac:dyDescent="0.3">
      <c r="D40" s="16"/>
      <c r="E40" s="16"/>
      <c r="H40" s="16" t="s">
        <v>3</v>
      </c>
      <c r="I40" s="16"/>
      <c r="J40" s="16"/>
    </row>
    <row r="41" spans="4:10" x14ac:dyDescent="0.3">
      <c r="D41" s="3"/>
      <c r="E41" s="3"/>
      <c r="H41" s="3" t="s">
        <v>4</v>
      </c>
      <c r="I41" s="5">
        <v>2025</v>
      </c>
      <c r="J41" s="5">
        <v>2026</v>
      </c>
    </row>
    <row r="42" spans="4:10" x14ac:dyDescent="0.3">
      <c r="D42" s="3"/>
      <c r="E42" s="3"/>
      <c r="H42" s="3" t="s">
        <v>5</v>
      </c>
      <c r="I42" s="3"/>
      <c r="J42" s="3">
        <v>118377.27</v>
      </c>
    </row>
    <row r="43" spans="4:10" x14ac:dyDescent="0.3">
      <c r="D43" s="3"/>
      <c r="E43" s="3"/>
      <c r="H43" s="3" t="s">
        <v>6</v>
      </c>
      <c r="I43" s="3"/>
      <c r="J43" s="3">
        <v>139519.45000000001</v>
      </c>
    </row>
    <row r="44" spans="4:10" x14ac:dyDescent="0.3">
      <c r="D44" s="3"/>
      <c r="E44" s="3"/>
      <c r="H44" s="3" t="s">
        <v>7</v>
      </c>
      <c r="I44" s="3">
        <v>106553.52</v>
      </c>
      <c r="J44" s="3">
        <v>166608.10999999999</v>
      </c>
    </row>
    <row r="45" spans="4:10" x14ac:dyDescent="0.3">
      <c r="D45" s="3"/>
      <c r="E45" s="3"/>
      <c r="H45" s="3" t="s">
        <v>8</v>
      </c>
      <c r="I45" s="3">
        <v>105966.96</v>
      </c>
      <c r="J45" s="3">
        <v>157848.98000000001</v>
      </c>
    </row>
    <row r="46" spans="4:10" x14ac:dyDescent="0.3">
      <c r="D46" s="3"/>
      <c r="E46" s="3"/>
      <c r="H46" s="3" t="s">
        <v>9</v>
      </c>
      <c r="I46" s="3">
        <v>67242.14</v>
      </c>
      <c r="J46" s="3">
        <v>195059.11</v>
      </c>
    </row>
    <row r="47" spans="4:10" x14ac:dyDescent="0.3">
      <c r="D47" s="3"/>
      <c r="E47" s="3"/>
      <c r="H47" s="3" t="s">
        <v>10</v>
      </c>
      <c r="I47" s="3">
        <v>99881.73</v>
      </c>
      <c r="J47" s="3">
        <v>203365.73</v>
      </c>
    </row>
    <row r="48" spans="4:10" x14ac:dyDescent="0.3">
      <c r="D48" s="3"/>
      <c r="E48" s="3"/>
      <c r="H48" s="3" t="s">
        <v>11</v>
      </c>
      <c r="I48" s="3">
        <v>98148.26</v>
      </c>
      <c r="J48" s="3">
        <v>212912.95</v>
      </c>
    </row>
    <row r="49" spans="4:10" x14ac:dyDescent="0.3">
      <c r="D49" s="3"/>
      <c r="E49" s="3"/>
      <c r="H49" s="3" t="s">
        <v>12</v>
      </c>
      <c r="I49" s="3">
        <v>103222.03</v>
      </c>
      <c r="J49" s="3">
        <v>194259.08</v>
      </c>
    </row>
    <row r="50" spans="4:10" x14ac:dyDescent="0.3">
      <c r="D50" s="3"/>
      <c r="E50" s="3"/>
      <c r="H50" s="3" t="s">
        <v>13</v>
      </c>
      <c r="I50" s="3">
        <v>135769.20000000001</v>
      </c>
      <c r="J50" s="3"/>
    </row>
    <row r="51" spans="4:10" x14ac:dyDescent="0.3">
      <c r="D51" s="3"/>
      <c r="E51" s="3"/>
      <c r="H51" s="3" t="s">
        <v>14</v>
      </c>
      <c r="I51" s="3">
        <v>176611.14</v>
      </c>
      <c r="J51" s="3"/>
    </row>
    <row r="52" spans="4:10" x14ac:dyDescent="0.3">
      <c r="D52" s="3"/>
      <c r="E52" s="3"/>
      <c r="H52" s="3" t="s">
        <v>15</v>
      </c>
      <c r="I52" s="3">
        <v>121822.37</v>
      </c>
      <c r="J52" s="3"/>
    </row>
    <row r="53" spans="4:10" x14ac:dyDescent="0.3">
      <c r="D53" s="3"/>
      <c r="E53" s="3"/>
      <c r="H53" s="3" t="s">
        <v>16</v>
      </c>
      <c r="I53" s="3">
        <v>141264.91</v>
      </c>
      <c r="J53" s="3"/>
    </row>
  </sheetData>
  <mergeCells count="7">
    <mergeCell ref="D4:E4"/>
    <mergeCell ref="M4:N4"/>
    <mergeCell ref="D22:E22"/>
    <mergeCell ref="D40:E40"/>
    <mergeCell ref="H40:J40"/>
    <mergeCell ref="H22:J22"/>
    <mergeCell ref="H4:J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2737-40AC-40CB-B1EF-E0069848CFC3}">
  <dimension ref="D4:Z91"/>
  <sheetViews>
    <sheetView topLeftCell="A58" zoomScale="85" zoomScaleNormal="85" workbookViewId="0">
      <selection activeCell="V85" sqref="V85"/>
    </sheetView>
  </sheetViews>
  <sheetFormatPr defaultRowHeight="14.4" x14ac:dyDescent="0.3"/>
  <cols>
    <col min="4" max="4" width="11.33203125" style="2" customWidth="1"/>
    <col min="5" max="5" width="12" style="2" bestFit="1" customWidth="1"/>
    <col min="6" max="6" width="12.109375" style="2" bestFit="1" customWidth="1"/>
    <col min="7" max="7" width="9.109375" style="2"/>
    <col min="8" max="8" width="10.109375" style="2" bestFit="1" customWidth="1"/>
    <col min="9" max="9" width="14" style="2" customWidth="1"/>
    <col min="10" max="10" width="12" style="2" bestFit="1" customWidth="1"/>
    <col min="13" max="13" width="10.109375" bestFit="1" customWidth="1"/>
    <col min="14" max="14" width="12" bestFit="1" customWidth="1"/>
    <col min="21" max="21" width="19.88671875" bestFit="1" customWidth="1"/>
    <col min="22" max="22" width="16.33203125" style="1" customWidth="1"/>
    <col min="23" max="23" width="11.33203125" style="1" customWidth="1"/>
    <col min="24" max="24" width="11" style="8" customWidth="1"/>
    <col min="25" max="25" width="14.88671875" style="1" customWidth="1"/>
    <col min="26" max="26" width="14.33203125" style="1" customWidth="1"/>
  </cols>
  <sheetData>
    <row r="4" spans="4:26" x14ac:dyDescent="0.3">
      <c r="D4" s="16"/>
      <c r="E4" s="16"/>
      <c r="H4" s="16" t="s">
        <v>1</v>
      </c>
      <c r="I4" s="16"/>
      <c r="J4" s="16"/>
      <c r="K4" s="2"/>
      <c r="M4" s="17"/>
      <c r="N4" s="17"/>
    </row>
    <row r="5" spans="4:26" x14ac:dyDescent="0.3">
      <c r="D5" s="3"/>
      <c r="E5" s="3"/>
      <c r="H5" s="3" t="s">
        <v>4</v>
      </c>
      <c r="I5" s="5">
        <v>2025</v>
      </c>
      <c r="J5" s="5">
        <v>2026</v>
      </c>
      <c r="M5" s="1"/>
      <c r="N5" s="1"/>
    </row>
    <row r="6" spans="4:26" x14ac:dyDescent="0.3">
      <c r="D6" s="3"/>
      <c r="E6" s="3"/>
      <c r="H6" s="3" t="s">
        <v>5</v>
      </c>
      <c r="I6" s="3"/>
      <c r="J6" s="3">
        <v>0</v>
      </c>
      <c r="M6" s="1"/>
      <c r="N6" s="1"/>
    </row>
    <row r="7" spans="4:26" x14ac:dyDescent="0.3">
      <c r="D7" s="3"/>
      <c r="E7" s="3"/>
      <c r="H7" s="3" t="s">
        <v>6</v>
      </c>
      <c r="I7" s="3"/>
      <c r="J7" s="3">
        <v>52895.6</v>
      </c>
      <c r="M7" s="1"/>
      <c r="N7" s="1"/>
      <c r="V7" s="7" t="s">
        <v>17</v>
      </c>
      <c r="W7" s="7" t="s">
        <v>18</v>
      </c>
      <c r="X7" s="9" t="s">
        <v>4</v>
      </c>
      <c r="Y7" s="7" t="s">
        <v>19</v>
      </c>
      <c r="Z7" s="7" t="s">
        <v>20</v>
      </c>
    </row>
    <row r="8" spans="4:26" x14ac:dyDescent="0.3">
      <c r="D8" s="3"/>
      <c r="E8" s="3"/>
      <c r="H8" s="3" t="s">
        <v>7</v>
      </c>
      <c r="I8" s="3"/>
      <c r="J8" s="3">
        <v>73198.27</v>
      </c>
      <c r="M8" s="1"/>
      <c r="N8" s="1"/>
      <c r="V8" s="6" t="s">
        <v>1</v>
      </c>
      <c r="W8" s="6">
        <v>2025</v>
      </c>
      <c r="X8" s="10" t="s">
        <v>21</v>
      </c>
      <c r="Y8" s="6">
        <v>1</v>
      </c>
      <c r="Z8" s="11"/>
    </row>
    <row r="9" spans="4:26" x14ac:dyDescent="0.3">
      <c r="D9" s="3"/>
      <c r="E9" s="3"/>
      <c r="H9" s="3" t="s">
        <v>8</v>
      </c>
      <c r="I9" s="3"/>
      <c r="J9" s="3">
        <v>92392.2</v>
      </c>
      <c r="M9" s="1"/>
      <c r="N9" s="1"/>
      <c r="V9" s="6" t="s">
        <v>1</v>
      </c>
      <c r="W9" s="6">
        <v>2025</v>
      </c>
      <c r="X9" s="10" t="s">
        <v>22</v>
      </c>
      <c r="Y9" s="6">
        <v>2</v>
      </c>
      <c r="Z9" s="11"/>
    </row>
    <row r="10" spans="4:26" x14ac:dyDescent="0.3">
      <c r="D10" s="3"/>
      <c r="E10" s="3"/>
      <c r="H10" s="3" t="s">
        <v>9</v>
      </c>
      <c r="I10" s="3">
        <v>55217.17</v>
      </c>
      <c r="J10" s="3">
        <v>85426.75</v>
      </c>
      <c r="M10" s="1"/>
      <c r="N10" s="1"/>
      <c r="V10" s="6" t="s">
        <v>1</v>
      </c>
      <c r="W10" s="6">
        <v>2025</v>
      </c>
      <c r="X10" s="10" t="s">
        <v>23</v>
      </c>
      <c r="Y10" s="6">
        <v>3</v>
      </c>
      <c r="Z10" s="11"/>
    </row>
    <row r="11" spans="4:26" x14ac:dyDescent="0.3">
      <c r="D11" s="3"/>
      <c r="E11" s="3"/>
      <c r="H11" s="3" t="s">
        <v>10</v>
      </c>
      <c r="I11" s="3">
        <v>36103.99</v>
      </c>
      <c r="J11" s="3">
        <v>59008.98</v>
      </c>
      <c r="M11" s="1"/>
      <c r="N11" s="1"/>
      <c r="V11" s="6" t="s">
        <v>1</v>
      </c>
      <c r="W11" s="6">
        <v>2025</v>
      </c>
      <c r="X11" s="10" t="s">
        <v>24</v>
      </c>
      <c r="Y11" s="6">
        <v>4</v>
      </c>
      <c r="Z11" s="11"/>
    </row>
    <row r="12" spans="4:26" x14ac:dyDescent="0.3">
      <c r="D12" s="3"/>
      <c r="E12" s="3"/>
      <c r="F12" s="3"/>
      <c r="H12" s="3" t="s">
        <v>11</v>
      </c>
      <c r="I12" s="3">
        <v>91668.84</v>
      </c>
      <c r="J12" s="3">
        <v>107075.8</v>
      </c>
      <c r="M12" s="1"/>
      <c r="N12" s="1"/>
      <c r="V12" s="6" t="s">
        <v>1</v>
      </c>
      <c r="W12" s="6">
        <v>2025</v>
      </c>
      <c r="X12" s="10" t="s">
        <v>25</v>
      </c>
      <c r="Y12" s="6">
        <v>5</v>
      </c>
      <c r="Z12" s="11">
        <v>55217.17</v>
      </c>
    </row>
    <row r="13" spans="4:26" x14ac:dyDescent="0.3">
      <c r="D13" s="3"/>
      <c r="E13" s="3"/>
      <c r="F13" s="3"/>
      <c r="H13" s="3" t="s">
        <v>12</v>
      </c>
      <c r="I13" s="3">
        <v>2295.8200000000002</v>
      </c>
      <c r="J13" s="3">
        <v>112007.19</v>
      </c>
      <c r="M13" s="1"/>
      <c r="N13" s="1"/>
      <c r="V13" s="6" t="s">
        <v>1</v>
      </c>
      <c r="W13" s="6">
        <v>2025</v>
      </c>
      <c r="X13" s="10" t="s">
        <v>26</v>
      </c>
      <c r="Y13" s="6">
        <v>6</v>
      </c>
      <c r="Z13" s="11">
        <v>36103.99</v>
      </c>
    </row>
    <row r="14" spans="4:26" x14ac:dyDescent="0.3">
      <c r="D14" s="3"/>
      <c r="E14" s="3"/>
      <c r="H14" s="3" t="s">
        <v>13</v>
      </c>
      <c r="I14" s="3">
        <v>195.71</v>
      </c>
      <c r="J14" s="3"/>
      <c r="M14" s="1"/>
      <c r="N14" s="1"/>
      <c r="V14" s="6" t="s">
        <v>1</v>
      </c>
      <c r="W14" s="6">
        <v>2025</v>
      </c>
      <c r="X14" s="10" t="s">
        <v>27</v>
      </c>
      <c r="Y14" s="6">
        <v>7</v>
      </c>
      <c r="Z14" s="11">
        <v>91668.84</v>
      </c>
    </row>
    <row r="15" spans="4:26" x14ac:dyDescent="0.3">
      <c r="D15" s="3"/>
      <c r="E15" s="3"/>
      <c r="H15" s="3" t="s">
        <v>14</v>
      </c>
      <c r="I15" s="3">
        <v>54486.65</v>
      </c>
      <c r="J15" s="3"/>
      <c r="M15" s="1"/>
      <c r="N15" s="1"/>
      <c r="V15" s="6" t="s">
        <v>1</v>
      </c>
      <c r="W15" s="6">
        <v>2025</v>
      </c>
      <c r="X15" s="10" t="s">
        <v>28</v>
      </c>
      <c r="Y15" s="6">
        <v>8</v>
      </c>
      <c r="Z15" s="11">
        <v>2295.8200000000002</v>
      </c>
    </row>
    <row r="16" spans="4:26" x14ac:dyDescent="0.3">
      <c r="D16" s="3"/>
      <c r="E16" s="3"/>
      <c r="H16" s="3" t="s">
        <v>15</v>
      </c>
      <c r="I16" s="3">
        <v>16065.01</v>
      </c>
      <c r="J16" s="3"/>
      <c r="M16" s="1"/>
      <c r="N16" s="1"/>
      <c r="V16" s="6" t="s">
        <v>1</v>
      </c>
      <c r="W16" s="6">
        <v>2025</v>
      </c>
      <c r="X16" s="10" t="s">
        <v>29</v>
      </c>
      <c r="Y16" s="6">
        <v>9</v>
      </c>
      <c r="Z16" s="11">
        <v>195.71</v>
      </c>
    </row>
    <row r="17" spans="4:26" x14ac:dyDescent="0.3">
      <c r="D17" s="3"/>
      <c r="E17" s="3"/>
      <c r="H17" s="3" t="s">
        <v>16</v>
      </c>
      <c r="I17" s="3">
        <v>1935.31</v>
      </c>
      <c r="J17" s="3"/>
      <c r="M17" s="1"/>
      <c r="N17" s="1"/>
      <c r="V17" s="6" t="s">
        <v>1</v>
      </c>
      <c r="W17" s="6">
        <v>2025</v>
      </c>
      <c r="X17" s="10" t="s">
        <v>30</v>
      </c>
      <c r="Y17" s="6">
        <v>10</v>
      </c>
      <c r="Z17" s="11">
        <v>54486.65</v>
      </c>
    </row>
    <row r="18" spans="4:26" x14ac:dyDescent="0.3">
      <c r="D18" s="3"/>
      <c r="E18" s="3"/>
      <c r="V18" s="6" t="s">
        <v>1</v>
      </c>
      <c r="W18" s="6">
        <v>2025</v>
      </c>
      <c r="X18" s="10" t="s">
        <v>31</v>
      </c>
      <c r="Y18" s="6">
        <v>11</v>
      </c>
      <c r="Z18" s="11">
        <v>16065.01</v>
      </c>
    </row>
    <row r="19" spans="4:26" x14ac:dyDescent="0.3">
      <c r="D19" s="3"/>
      <c r="E19" s="3"/>
      <c r="V19" s="6" t="s">
        <v>1</v>
      </c>
      <c r="W19" s="6">
        <v>2025</v>
      </c>
      <c r="X19" s="10" t="s">
        <v>32</v>
      </c>
      <c r="Y19" s="6">
        <v>12</v>
      </c>
      <c r="Z19" s="3">
        <v>1935.31</v>
      </c>
    </row>
    <row r="20" spans="4:26" x14ac:dyDescent="0.3">
      <c r="D20" s="3"/>
      <c r="E20" s="3"/>
      <c r="V20" s="6" t="s">
        <v>1</v>
      </c>
      <c r="W20" s="1">
        <v>2026</v>
      </c>
      <c r="X20" s="10" t="s">
        <v>21</v>
      </c>
      <c r="Y20" s="1">
        <v>1</v>
      </c>
      <c r="Z20" s="3">
        <v>0</v>
      </c>
    </row>
    <row r="21" spans="4:26" x14ac:dyDescent="0.3">
      <c r="D21" s="3"/>
      <c r="E21" s="3"/>
      <c r="V21" s="6" t="s">
        <v>1</v>
      </c>
      <c r="W21" s="1">
        <v>2026</v>
      </c>
      <c r="X21" s="10" t="s">
        <v>22</v>
      </c>
      <c r="Y21" s="1">
        <v>2</v>
      </c>
      <c r="Z21" s="3">
        <v>52895.6</v>
      </c>
    </row>
    <row r="22" spans="4:26" x14ac:dyDescent="0.3">
      <c r="D22" s="16"/>
      <c r="E22" s="16"/>
      <c r="H22" s="16" t="s">
        <v>2</v>
      </c>
      <c r="I22" s="16"/>
      <c r="J22" s="16"/>
      <c r="V22" s="6" t="s">
        <v>1</v>
      </c>
      <c r="W22" s="1">
        <v>2026</v>
      </c>
      <c r="X22" s="10" t="s">
        <v>23</v>
      </c>
      <c r="Y22" s="1">
        <v>3</v>
      </c>
      <c r="Z22" s="3">
        <v>73198.27</v>
      </c>
    </row>
    <row r="23" spans="4:26" x14ac:dyDescent="0.3">
      <c r="D23" s="3"/>
      <c r="E23" s="3"/>
      <c r="H23" s="3" t="s">
        <v>4</v>
      </c>
      <c r="I23" s="5">
        <v>2025</v>
      </c>
      <c r="J23" s="5">
        <v>2026</v>
      </c>
      <c r="V23" s="6" t="s">
        <v>1</v>
      </c>
      <c r="W23" s="1">
        <v>2026</v>
      </c>
      <c r="X23" s="10" t="s">
        <v>24</v>
      </c>
      <c r="Y23" s="1">
        <v>4</v>
      </c>
      <c r="Z23" s="3">
        <v>92392.2</v>
      </c>
    </row>
    <row r="24" spans="4:26" x14ac:dyDescent="0.3">
      <c r="D24" s="3"/>
      <c r="E24" s="3"/>
      <c r="H24" s="3" t="s">
        <v>5</v>
      </c>
      <c r="I24" s="3"/>
      <c r="J24" s="3">
        <v>50004.639999999999</v>
      </c>
      <c r="V24" s="6" t="s">
        <v>1</v>
      </c>
      <c r="W24" s="1">
        <v>2026</v>
      </c>
      <c r="X24" s="10" t="s">
        <v>25</v>
      </c>
      <c r="Y24" s="1">
        <v>5</v>
      </c>
      <c r="Z24" s="3">
        <v>85426.75</v>
      </c>
    </row>
    <row r="25" spans="4:26" x14ac:dyDescent="0.3">
      <c r="D25" s="3"/>
      <c r="E25" s="3"/>
      <c r="H25" s="3" t="s">
        <v>6</v>
      </c>
      <c r="I25" s="3"/>
      <c r="J25" s="3">
        <v>49523.67</v>
      </c>
      <c r="V25" s="6" t="s">
        <v>1</v>
      </c>
      <c r="W25" s="1">
        <v>2026</v>
      </c>
      <c r="X25" s="10" t="s">
        <v>26</v>
      </c>
      <c r="Y25" s="1">
        <v>6</v>
      </c>
      <c r="Z25" s="3">
        <v>59008.98</v>
      </c>
    </row>
    <row r="26" spans="4:26" x14ac:dyDescent="0.3">
      <c r="D26" s="3"/>
      <c r="E26" s="3"/>
      <c r="H26" s="3" t="s">
        <v>7</v>
      </c>
      <c r="I26" s="3">
        <v>59367.6</v>
      </c>
      <c r="J26" s="3">
        <v>70278.929999999993</v>
      </c>
      <c r="V26" s="6" t="s">
        <v>1</v>
      </c>
      <c r="W26" s="1">
        <v>2026</v>
      </c>
      <c r="X26" s="10" t="s">
        <v>27</v>
      </c>
      <c r="Y26" s="1">
        <v>7</v>
      </c>
      <c r="Z26" s="3">
        <v>107075.8</v>
      </c>
    </row>
    <row r="27" spans="4:26" x14ac:dyDescent="0.3">
      <c r="D27" s="3"/>
      <c r="E27" s="3"/>
      <c r="H27" s="3" t="s">
        <v>8</v>
      </c>
      <c r="I27" s="3">
        <v>34257.360000000001</v>
      </c>
      <c r="J27" s="3">
        <v>70985.3</v>
      </c>
      <c r="V27" s="6" t="s">
        <v>1</v>
      </c>
      <c r="W27" s="1">
        <v>2026</v>
      </c>
      <c r="X27" s="10" t="s">
        <v>28</v>
      </c>
      <c r="Y27" s="1">
        <v>8</v>
      </c>
      <c r="Z27" s="3">
        <v>112007.19</v>
      </c>
    </row>
    <row r="28" spans="4:26" x14ac:dyDescent="0.3">
      <c r="D28" s="3"/>
      <c r="E28" s="3"/>
      <c r="H28" s="3" t="s">
        <v>9</v>
      </c>
      <c r="I28" s="3">
        <v>8633.5400000000009</v>
      </c>
      <c r="J28" s="3">
        <v>41187.379999999997</v>
      </c>
      <c r="V28" s="6" t="s">
        <v>1</v>
      </c>
      <c r="W28" s="1">
        <v>2026</v>
      </c>
      <c r="X28" s="10" t="s">
        <v>29</v>
      </c>
      <c r="Y28" s="1">
        <v>9</v>
      </c>
      <c r="Z28" s="3"/>
    </row>
    <row r="29" spans="4:26" x14ac:dyDescent="0.3">
      <c r="D29" s="3"/>
      <c r="E29" s="3"/>
      <c r="H29" s="3" t="s">
        <v>10</v>
      </c>
      <c r="I29" s="3">
        <v>86867.68</v>
      </c>
      <c r="J29" s="3">
        <v>35993.910000000003</v>
      </c>
      <c r="V29" s="6" t="s">
        <v>1</v>
      </c>
      <c r="W29" s="1">
        <v>2026</v>
      </c>
      <c r="X29" s="10" t="s">
        <v>30</v>
      </c>
      <c r="Y29" s="1">
        <v>10</v>
      </c>
      <c r="Z29" s="3"/>
    </row>
    <row r="30" spans="4:26" x14ac:dyDescent="0.3">
      <c r="D30" s="3"/>
      <c r="E30" s="3"/>
      <c r="H30" s="3" t="s">
        <v>11</v>
      </c>
      <c r="I30" s="3">
        <v>52410.15</v>
      </c>
      <c r="J30" s="3">
        <v>10553.25</v>
      </c>
      <c r="V30" s="6" t="s">
        <v>1</v>
      </c>
      <c r="W30" s="1">
        <v>2026</v>
      </c>
      <c r="X30" s="10" t="s">
        <v>31</v>
      </c>
      <c r="Y30" s="1">
        <v>11</v>
      </c>
      <c r="Z30" s="3"/>
    </row>
    <row r="31" spans="4:26" x14ac:dyDescent="0.3">
      <c r="D31" s="3"/>
      <c r="E31" s="3"/>
      <c r="H31" s="3" t="s">
        <v>12</v>
      </c>
      <c r="I31" s="3">
        <v>13599.8</v>
      </c>
      <c r="J31" s="3">
        <v>7185.43</v>
      </c>
      <c r="V31" s="6" t="s">
        <v>1</v>
      </c>
      <c r="W31" s="1">
        <v>2026</v>
      </c>
      <c r="X31" s="10" t="s">
        <v>32</v>
      </c>
      <c r="Y31" s="1">
        <v>12</v>
      </c>
      <c r="Z31" s="3"/>
    </row>
    <row r="32" spans="4:26" x14ac:dyDescent="0.3">
      <c r="D32" s="3"/>
      <c r="E32" s="3"/>
      <c r="H32" s="3" t="s">
        <v>13</v>
      </c>
      <c r="I32" s="3">
        <v>54017.73</v>
      </c>
      <c r="J32" s="3"/>
      <c r="V32" s="1" t="s">
        <v>2</v>
      </c>
      <c r="W32" s="6">
        <v>2025</v>
      </c>
      <c r="X32" s="10" t="s">
        <v>21</v>
      </c>
      <c r="Y32" s="6">
        <v>1</v>
      </c>
      <c r="Z32" s="3"/>
    </row>
    <row r="33" spans="4:26" x14ac:dyDescent="0.3">
      <c r="D33" s="3"/>
      <c r="E33" s="3"/>
      <c r="H33" s="3" t="s">
        <v>14</v>
      </c>
      <c r="I33" s="3">
        <v>28863.25</v>
      </c>
      <c r="J33" s="3"/>
      <c r="V33" s="1" t="s">
        <v>2</v>
      </c>
      <c r="W33" s="6">
        <v>2025</v>
      </c>
      <c r="X33" s="10" t="s">
        <v>22</v>
      </c>
      <c r="Y33" s="6">
        <v>2</v>
      </c>
      <c r="Z33" s="3"/>
    </row>
    <row r="34" spans="4:26" x14ac:dyDescent="0.3">
      <c r="D34" s="3"/>
      <c r="E34" s="3"/>
      <c r="H34" s="3" t="s">
        <v>15</v>
      </c>
      <c r="I34" s="3">
        <v>26076.77</v>
      </c>
      <c r="J34" s="3"/>
      <c r="V34" s="1" t="s">
        <v>2</v>
      </c>
      <c r="W34" s="6">
        <v>2025</v>
      </c>
      <c r="X34" s="10" t="s">
        <v>23</v>
      </c>
      <c r="Y34" s="6">
        <v>3</v>
      </c>
      <c r="Z34" s="3">
        <v>59367.6</v>
      </c>
    </row>
    <row r="35" spans="4:26" x14ac:dyDescent="0.3">
      <c r="D35" s="3"/>
      <c r="E35" s="3"/>
      <c r="H35" s="3" t="s">
        <v>16</v>
      </c>
      <c r="I35" s="3">
        <v>60817.51</v>
      </c>
      <c r="J35" s="3"/>
      <c r="V35" s="1" t="s">
        <v>2</v>
      </c>
      <c r="W35" s="6">
        <v>2025</v>
      </c>
      <c r="X35" s="10" t="s">
        <v>24</v>
      </c>
      <c r="Y35" s="6">
        <v>4</v>
      </c>
      <c r="Z35" s="3">
        <v>34257.360000000001</v>
      </c>
    </row>
    <row r="36" spans="4:26" x14ac:dyDescent="0.3">
      <c r="V36" s="1" t="s">
        <v>2</v>
      </c>
      <c r="W36" s="6">
        <v>2025</v>
      </c>
      <c r="X36" s="10" t="s">
        <v>25</v>
      </c>
      <c r="Y36" s="6">
        <v>5</v>
      </c>
      <c r="Z36" s="3">
        <v>8633.5400000000009</v>
      </c>
    </row>
    <row r="37" spans="4:26" x14ac:dyDescent="0.3">
      <c r="V37" s="1" t="s">
        <v>2</v>
      </c>
      <c r="W37" s="6">
        <v>2025</v>
      </c>
      <c r="X37" s="10" t="s">
        <v>26</v>
      </c>
      <c r="Y37" s="6">
        <v>6</v>
      </c>
      <c r="Z37" s="3">
        <v>86867.68</v>
      </c>
    </row>
    <row r="38" spans="4:26" x14ac:dyDescent="0.3">
      <c r="V38" s="1" t="s">
        <v>2</v>
      </c>
      <c r="W38" s="6">
        <v>2025</v>
      </c>
      <c r="X38" s="10" t="s">
        <v>27</v>
      </c>
      <c r="Y38" s="6">
        <v>7</v>
      </c>
      <c r="Z38" s="3">
        <v>52410.15</v>
      </c>
    </row>
    <row r="39" spans="4:26" x14ac:dyDescent="0.3">
      <c r="V39" s="1" t="s">
        <v>2</v>
      </c>
      <c r="W39" s="6">
        <v>2025</v>
      </c>
      <c r="X39" s="10" t="s">
        <v>28</v>
      </c>
      <c r="Y39" s="6">
        <v>8</v>
      </c>
      <c r="Z39" s="3">
        <v>13599.8</v>
      </c>
    </row>
    <row r="40" spans="4:26" x14ac:dyDescent="0.3">
      <c r="D40" s="16"/>
      <c r="E40" s="16"/>
      <c r="H40" s="16" t="s">
        <v>3</v>
      </c>
      <c r="I40" s="16"/>
      <c r="J40" s="16"/>
      <c r="V40" s="1" t="s">
        <v>2</v>
      </c>
      <c r="W40" s="6">
        <v>2025</v>
      </c>
      <c r="X40" s="10" t="s">
        <v>29</v>
      </c>
      <c r="Y40" s="6">
        <v>9</v>
      </c>
      <c r="Z40" s="3">
        <v>54017.73</v>
      </c>
    </row>
    <row r="41" spans="4:26" x14ac:dyDescent="0.3">
      <c r="D41" s="3"/>
      <c r="E41" s="3"/>
      <c r="H41" s="3" t="s">
        <v>4</v>
      </c>
      <c r="I41" s="5">
        <v>2025</v>
      </c>
      <c r="J41" s="5">
        <v>2026</v>
      </c>
      <c r="V41" s="1" t="s">
        <v>2</v>
      </c>
      <c r="W41" s="6">
        <v>2025</v>
      </c>
      <c r="X41" s="10" t="s">
        <v>30</v>
      </c>
      <c r="Y41" s="6">
        <v>10</v>
      </c>
      <c r="Z41" s="3">
        <v>28863.25</v>
      </c>
    </row>
    <row r="42" spans="4:26" x14ac:dyDescent="0.3">
      <c r="D42" s="3"/>
      <c r="E42" s="3"/>
      <c r="H42" s="3" t="s">
        <v>5</v>
      </c>
      <c r="I42" s="3"/>
      <c r="J42" s="3">
        <v>118377.27</v>
      </c>
      <c r="V42" s="1" t="s">
        <v>2</v>
      </c>
      <c r="W42" s="6">
        <v>2025</v>
      </c>
      <c r="X42" s="10" t="s">
        <v>31</v>
      </c>
      <c r="Y42" s="6">
        <v>11</v>
      </c>
      <c r="Z42" s="3">
        <v>26076.77</v>
      </c>
    </row>
    <row r="43" spans="4:26" x14ac:dyDescent="0.3">
      <c r="D43" s="3"/>
      <c r="E43" s="3"/>
      <c r="H43" s="3" t="s">
        <v>6</v>
      </c>
      <c r="I43" s="3"/>
      <c r="J43" s="3">
        <v>139519.45000000001</v>
      </c>
      <c r="V43" s="1" t="s">
        <v>2</v>
      </c>
      <c r="W43" s="6">
        <v>2025</v>
      </c>
      <c r="X43" s="10" t="s">
        <v>32</v>
      </c>
      <c r="Y43" s="6">
        <v>12</v>
      </c>
      <c r="Z43" s="3">
        <v>60817.51</v>
      </c>
    </row>
    <row r="44" spans="4:26" x14ac:dyDescent="0.3">
      <c r="D44" s="3"/>
      <c r="E44" s="3"/>
      <c r="H44" s="3" t="s">
        <v>7</v>
      </c>
      <c r="I44" s="3">
        <v>106553.52</v>
      </c>
      <c r="J44" s="3">
        <v>166608.10999999999</v>
      </c>
      <c r="V44" s="1" t="s">
        <v>2</v>
      </c>
      <c r="W44" s="1">
        <v>2026</v>
      </c>
      <c r="X44" s="10" t="s">
        <v>21</v>
      </c>
      <c r="Y44" s="1">
        <v>1</v>
      </c>
      <c r="Z44" s="3">
        <v>50004.639999999999</v>
      </c>
    </row>
    <row r="45" spans="4:26" x14ac:dyDescent="0.3">
      <c r="D45" s="3"/>
      <c r="E45" s="3"/>
      <c r="H45" s="3" t="s">
        <v>8</v>
      </c>
      <c r="I45" s="3">
        <v>105966.96</v>
      </c>
      <c r="J45" s="3">
        <v>157848.98000000001</v>
      </c>
      <c r="V45" s="1" t="s">
        <v>2</v>
      </c>
      <c r="W45" s="1">
        <v>2026</v>
      </c>
      <c r="X45" s="10" t="s">
        <v>22</v>
      </c>
      <c r="Y45" s="1">
        <v>2</v>
      </c>
      <c r="Z45" s="3">
        <v>49523.67</v>
      </c>
    </row>
    <row r="46" spans="4:26" x14ac:dyDescent="0.3">
      <c r="D46" s="3"/>
      <c r="E46" s="3"/>
      <c r="H46" s="3" t="s">
        <v>9</v>
      </c>
      <c r="I46" s="3">
        <v>67242.14</v>
      </c>
      <c r="J46" s="3">
        <v>195059.11</v>
      </c>
      <c r="V46" s="1" t="s">
        <v>2</v>
      </c>
      <c r="W46" s="1">
        <v>2026</v>
      </c>
      <c r="X46" s="10" t="s">
        <v>23</v>
      </c>
      <c r="Y46" s="1">
        <v>3</v>
      </c>
      <c r="Z46" s="3">
        <v>70278.929999999993</v>
      </c>
    </row>
    <row r="47" spans="4:26" x14ac:dyDescent="0.3">
      <c r="D47" s="3"/>
      <c r="E47" s="3"/>
      <c r="H47" s="3" t="s">
        <v>10</v>
      </c>
      <c r="I47" s="3">
        <v>99881.73</v>
      </c>
      <c r="J47" s="3">
        <v>203365.73</v>
      </c>
      <c r="V47" s="1" t="s">
        <v>2</v>
      </c>
      <c r="W47" s="1">
        <v>2026</v>
      </c>
      <c r="X47" s="10" t="s">
        <v>24</v>
      </c>
      <c r="Y47" s="1">
        <v>4</v>
      </c>
      <c r="Z47" s="3">
        <v>70985.3</v>
      </c>
    </row>
    <row r="48" spans="4:26" x14ac:dyDescent="0.3">
      <c r="D48" s="3"/>
      <c r="E48" s="3"/>
      <c r="H48" s="3" t="s">
        <v>11</v>
      </c>
      <c r="I48" s="3">
        <v>98148.26</v>
      </c>
      <c r="J48" s="3">
        <v>212912.95</v>
      </c>
      <c r="V48" s="1" t="s">
        <v>2</v>
      </c>
      <c r="W48" s="1">
        <v>2026</v>
      </c>
      <c r="X48" s="10" t="s">
        <v>25</v>
      </c>
      <c r="Y48" s="1">
        <v>5</v>
      </c>
      <c r="Z48" s="3">
        <v>41187.379999999997</v>
      </c>
    </row>
    <row r="49" spans="4:26" x14ac:dyDescent="0.3">
      <c r="D49" s="3"/>
      <c r="E49" s="3"/>
      <c r="H49" s="3" t="s">
        <v>12</v>
      </c>
      <c r="I49" s="3">
        <v>103222.03</v>
      </c>
      <c r="J49" s="3">
        <v>194259.08</v>
      </c>
      <c r="V49" s="1" t="s">
        <v>2</v>
      </c>
      <c r="W49" s="1">
        <v>2026</v>
      </c>
      <c r="X49" s="10" t="s">
        <v>26</v>
      </c>
      <c r="Y49" s="1">
        <v>6</v>
      </c>
      <c r="Z49" s="3">
        <v>35993.910000000003</v>
      </c>
    </row>
    <row r="50" spans="4:26" x14ac:dyDescent="0.3">
      <c r="D50" s="3"/>
      <c r="E50" s="3"/>
      <c r="H50" s="3" t="s">
        <v>13</v>
      </c>
      <c r="I50" s="3">
        <v>135769.20000000001</v>
      </c>
      <c r="J50" s="3"/>
      <c r="V50" s="1" t="s">
        <v>2</v>
      </c>
      <c r="W50" s="1">
        <v>2026</v>
      </c>
      <c r="X50" s="10" t="s">
        <v>27</v>
      </c>
      <c r="Y50" s="1">
        <v>7</v>
      </c>
      <c r="Z50" s="3">
        <v>10553.25</v>
      </c>
    </row>
    <row r="51" spans="4:26" x14ac:dyDescent="0.3">
      <c r="D51" s="3"/>
      <c r="E51" s="3"/>
      <c r="H51" s="3" t="s">
        <v>14</v>
      </c>
      <c r="I51" s="3">
        <v>176611.14</v>
      </c>
      <c r="J51" s="3"/>
      <c r="V51" s="1" t="s">
        <v>2</v>
      </c>
      <c r="W51" s="1">
        <v>2026</v>
      </c>
      <c r="X51" s="10" t="s">
        <v>28</v>
      </c>
      <c r="Y51" s="1">
        <v>8</v>
      </c>
      <c r="Z51" s="3">
        <v>7185.43</v>
      </c>
    </row>
    <row r="52" spans="4:26" x14ac:dyDescent="0.3">
      <c r="D52" s="3"/>
      <c r="E52" s="3"/>
      <c r="H52" s="3" t="s">
        <v>15</v>
      </c>
      <c r="I52" s="3">
        <v>121822.37</v>
      </c>
      <c r="J52" s="3"/>
      <c r="V52" s="1" t="s">
        <v>2</v>
      </c>
      <c r="W52" s="1">
        <v>2026</v>
      </c>
      <c r="X52" s="10" t="s">
        <v>29</v>
      </c>
      <c r="Y52" s="1">
        <v>9</v>
      </c>
      <c r="Z52" s="3"/>
    </row>
    <row r="53" spans="4:26" x14ac:dyDescent="0.3">
      <c r="D53" s="3"/>
      <c r="E53" s="3"/>
      <c r="H53" s="3" t="s">
        <v>16</v>
      </c>
      <c r="I53" s="3">
        <v>141264.91</v>
      </c>
      <c r="J53" s="3"/>
      <c r="V53" s="1" t="s">
        <v>2</v>
      </c>
      <c r="W53" s="1">
        <v>2026</v>
      </c>
      <c r="X53" s="10" t="s">
        <v>30</v>
      </c>
      <c r="Y53" s="1">
        <v>10</v>
      </c>
      <c r="Z53" s="3"/>
    </row>
    <row r="54" spans="4:26" x14ac:dyDescent="0.3">
      <c r="V54" s="1" t="s">
        <v>2</v>
      </c>
      <c r="W54" s="1">
        <v>2026</v>
      </c>
      <c r="X54" s="10" t="s">
        <v>31</v>
      </c>
      <c r="Y54" s="1">
        <v>11</v>
      </c>
      <c r="Z54" s="3"/>
    </row>
    <row r="55" spans="4:26" x14ac:dyDescent="0.3">
      <c r="V55" s="1" t="s">
        <v>2</v>
      </c>
      <c r="W55" s="1">
        <v>2026</v>
      </c>
      <c r="X55" s="10" t="s">
        <v>32</v>
      </c>
      <c r="Y55" s="1">
        <v>12</v>
      </c>
      <c r="Z55" s="3"/>
    </row>
    <row r="56" spans="4:26" x14ac:dyDescent="0.3">
      <c r="V56" s="1" t="s">
        <v>33</v>
      </c>
      <c r="W56" s="6">
        <v>2025</v>
      </c>
      <c r="X56" s="10" t="s">
        <v>21</v>
      </c>
      <c r="Y56" s="6">
        <v>1</v>
      </c>
      <c r="Z56" s="3"/>
    </row>
    <row r="57" spans="4:26" x14ac:dyDescent="0.3">
      <c r="V57" s="1" t="s">
        <v>33</v>
      </c>
      <c r="W57" s="6">
        <v>2025</v>
      </c>
      <c r="X57" s="10" t="s">
        <v>22</v>
      </c>
      <c r="Y57" s="6">
        <v>2</v>
      </c>
      <c r="Z57" s="3"/>
    </row>
    <row r="58" spans="4:26" x14ac:dyDescent="0.3">
      <c r="V58" s="1" t="s">
        <v>33</v>
      </c>
      <c r="W58" s="6">
        <v>2025</v>
      </c>
      <c r="X58" s="10" t="s">
        <v>23</v>
      </c>
      <c r="Y58" s="6">
        <v>3</v>
      </c>
      <c r="Z58" s="3">
        <v>106553.52</v>
      </c>
    </row>
    <row r="59" spans="4:26" x14ac:dyDescent="0.3">
      <c r="V59" s="1" t="s">
        <v>33</v>
      </c>
      <c r="W59" s="6">
        <v>2025</v>
      </c>
      <c r="X59" s="10" t="s">
        <v>24</v>
      </c>
      <c r="Y59" s="6">
        <v>4</v>
      </c>
      <c r="Z59" s="3">
        <v>105966.96</v>
      </c>
    </row>
    <row r="60" spans="4:26" x14ac:dyDescent="0.3">
      <c r="V60" s="1" t="s">
        <v>33</v>
      </c>
      <c r="W60" s="6">
        <v>2025</v>
      </c>
      <c r="X60" s="10" t="s">
        <v>25</v>
      </c>
      <c r="Y60" s="6">
        <v>5</v>
      </c>
      <c r="Z60" s="3">
        <v>67242.14</v>
      </c>
    </row>
    <row r="61" spans="4:26" x14ac:dyDescent="0.3">
      <c r="V61" s="1" t="s">
        <v>33</v>
      </c>
      <c r="W61" s="6">
        <v>2025</v>
      </c>
      <c r="X61" s="10" t="s">
        <v>26</v>
      </c>
      <c r="Y61" s="6">
        <v>6</v>
      </c>
      <c r="Z61" s="3">
        <v>99881.73</v>
      </c>
    </row>
    <row r="62" spans="4:26" x14ac:dyDescent="0.3">
      <c r="V62" s="1" t="s">
        <v>33</v>
      </c>
      <c r="W62" s="6">
        <v>2025</v>
      </c>
      <c r="X62" s="10" t="s">
        <v>27</v>
      </c>
      <c r="Y62" s="6">
        <v>7</v>
      </c>
      <c r="Z62" s="3">
        <v>98148.26</v>
      </c>
    </row>
    <row r="63" spans="4:26" x14ac:dyDescent="0.3">
      <c r="V63" s="1" t="s">
        <v>33</v>
      </c>
      <c r="W63" s="6">
        <v>2025</v>
      </c>
      <c r="X63" s="10" t="s">
        <v>28</v>
      </c>
      <c r="Y63" s="6">
        <v>8</v>
      </c>
      <c r="Z63" s="3">
        <v>103222.03</v>
      </c>
    </row>
    <row r="64" spans="4:26" x14ac:dyDescent="0.3">
      <c r="V64" s="1" t="s">
        <v>33</v>
      </c>
      <c r="W64" s="6">
        <v>2025</v>
      </c>
      <c r="X64" s="10" t="s">
        <v>29</v>
      </c>
      <c r="Y64" s="6">
        <v>9</v>
      </c>
      <c r="Z64" s="3">
        <v>135769.20000000001</v>
      </c>
    </row>
    <row r="65" spans="22:26" x14ac:dyDescent="0.3">
      <c r="V65" s="1" t="s">
        <v>33</v>
      </c>
      <c r="W65" s="6">
        <v>2025</v>
      </c>
      <c r="X65" s="10" t="s">
        <v>30</v>
      </c>
      <c r="Y65" s="6">
        <v>10</v>
      </c>
      <c r="Z65" s="3">
        <v>176611.14</v>
      </c>
    </row>
    <row r="66" spans="22:26" x14ac:dyDescent="0.3">
      <c r="V66" s="1" t="s">
        <v>33</v>
      </c>
      <c r="W66" s="6">
        <v>2025</v>
      </c>
      <c r="X66" s="10" t="s">
        <v>31</v>
      </c>
      <c r="Y66" s="6">
        <v>11</v>
      </c>
      <c r="Z66" s="3">
        <v>121822.37</v>
      </c>
    </row>
    <row r="67" spans="22:26" x14ac:dyDescent="0.3">
      <c r="V67" s="1" t="s">
        <v>33</v>
      </c>
      <c r="W67" s="6">
        <v>2025</v>
      </c>
      <c r="X67" s="10" t="s">
        <v>32</v>
      </c>
      <c r="Y67" s="6">
        <v>12</v>
      </c>
      <c r="Z67" s="3">
        <v>141264.91</v>
      </c>
    </row>
    <row r="68" spans="22:26" x14ac:dyDescent="0.3">
      <c r="V68" s="1" t="s">
        <v>33</v>
      </c>
      <c r="W68" s="1">
        <v>2026</v>
      </c>
      <c r="X68" s="10" t="s">
        <v>21</v>
      </c>
      <c r="Y68" s="1">
        <v>1</v>
      </c>
      <c r="Z68" s="3">
        <v>118377.27</v>
      </c>
    </row>
    <row r="69" spans="22:26" x14ac:dyDescent="0.3">
      <c r="V69" s="1" t="s">
        <v>33</v>
      </c>
      <c r="W69" s="1">
        <v>2026</v>
      </c>
      <c r="X69" s="10" t="s">
        <v>22</v>
      </c>
      <c r="Y69" s="1">
        <v>2</v>
      </c>
      <c r="Z69" s="3">
        <v>139519.45000000001</v>
      </c>
    </row>
    <row r="70" spans="22:26" x14ac:dyDescent="0.3">
      <c r="V70" s="1" t="s">
        <v>33</v>
      </c>
      <c r="W70" s="1">
        <v>2026</v>
      </c>
      <c r="X70" s="10" t="s">
        <v>23</v>
      </c>
      <c r="Y70" s="1">
        <v>3</v>
      </c>
      <c r="Z70" s="3">
        <v>166608.10999999999</v>
      </c>
    </row>
    <row r="71" spans="22:26" x14ac:dyDescent="0.3">
      <c r="V71" s="1" t="s">
        <v>33</v>
      </c>
      <c r="W71" s="1">
        <v>2026</v>
      </c>
      <c r="X71" s="10" t="s">
        <v>24</v>
      </c>
      <c r="Y71" s="1">
        <v>4</v>
      </c>
      <c r="Z71" s="3">
        <v>157848.98000000001</v>
      </c>
    </row>
    <row r="72" spans="22:26" x14ac:dyDescent="0.3">
      <c r="V72" s="1" t="s">
        <v>33</v>
      </c>
      <c r="W72" s="1">
        <v>2026</v>
      </c>
      <c r="X72" s="10" t="s">
        <v>25</v>
      </c>
      <c r="Y72" s="1">
        <v>5</v>
      </c>
      <c r="Z72" s="3">
        <v>195059.11</v>
      </c>
    </row>
    <row r="73" spans="22:26" x14ac:dyDescent="0.3">
      <c r="V73" s="1" t="s">
        <v>33</v>
      </c>
      <c r="W73" s="1">
        <v>2026</v>
      </c>
      <c r="X73" s="10" t="s">
        <v>26</v>
      </c>
      <c r="Y73" s="1">
        <v>6</v>
      </c>
      <c r="Z73" s="3">
        <v>203365.73</v>
      </c>
    </row>
    <row r="74" spans="22:26" x14ac:dyDescent="0.3">
      <c r="V74" s="1" t="s">
        <v>33</v>
      </c>
      <c r="W74" s="1">
        <v>2026</v>
      </c>
      <c r="X74" s="10" t="s">
        <v>27</v>
      </c>
      <c r="Y74" s="1">
        <v>7</v>
      </c>
      <c r="Z74" s="3">
        <v>212912.95</v>
      </c>
    </row>
    <row r="75" spans="22:26" x14ac:dyDescent="0.3">
      <c r="V75" s="1" t="s">
        <v>33</v>
      </c>
      <c r="W75" s="1">
        <v>2026</v>
      </c>
      <c r="X75" s="10" t="s">
        <v>28</v>
      </c>
      <c r="Y75" s="1">
        <v>8</v>
      </c>
      <c r="Z75" s="3">
        <v>194259.08</v>
      </c>
    </row>
    <row r="76" spans="22:26" x14ac:dyDescent="0.3">
      <c r="V76" s="1" t="s">
        <v>33</v>
      </c>
      <c r="W76" s="1">
        <v>2026</v>
      </c>
      <c r="X76" s="10" t="s">
        <v>29</v>
      </c>
      <c r="Y76" s="1">
        <v>9</v>
      </c>
      <c r="Z76" s="3"/>
    </row>
    <row r="77" spans="22:26" x14ac:dyDescent="0.3">
      <c r="V77" s="1" t="s">
        <v>33</v>
      </c>
      <c r="W77" s="1">
        <v>2026</v>
      </c>
      <c r="X77" s="10" t="s">
        <v>30</v>
      </c>
      <c r="Y77" s="1">
        <v>10</v>
      </c>
      <c r="Z77" s="3"/>
    </row>
    <row r="78" spans="22:26" x14ac:dyDescent="0.3">
      <c r="V78" s="1" t="s">
        <v>33</v>
      </c>
      <c r="W78" s="1">
        <v>2026</v>
      </c>
      <c r="X78" s="10" t="s">
        <v>31</v>
      </c>
      <c r="Y78" s="1">
        <v>11</v>
      </c>
      <c r="Z78" s="3"/>
    </row>
    <row r="79" spans="22:26" x14ac:dyDescent="0.3">
      <c r="V79" s="1" t="s">
        <v>33</v>
      </c>
      <c r="W79" s="1">
        <v>2026</v>
      </c>
      <c r="X79" s="10" t="s">
        <v>32</v>
      </c>
      <c r="Y79" s="1">
        <v>12</v>
      </c>
      <c r="Z79" s="3"/>
    </row>
    <row r="84" spans="18:22" x14ac:dyDescent="0.3">
      <c r="R84" t="s">
        <v>40</v>
      </c>
      <c r="S84" s="12">
        <f>V85/V84-1</f>
        <v>1.2561079744232342</v>
      </c>
      <c r="U84" t="s">
        <v>35</v>
      </c>
      <c r="V84" s="3">
        <f>SUMIFS(tbTratamento[Volume],tbTratamento[Estrutura],"BCL",tbTratamento[Ano],2025)</f>
        <v>257968.5</v>
      </c>
    </row>
    <row r="85" spans="18:22" x14ac:dyDescent="0.3">
      <c r="U85" t="s">
        <v>34</v>
      </c>
      <c r="V85" s="3">
        <f>SUMIFS(tbTratamento[Volume],tbTratamento[Estrutura],"BCL",tbTratamento[Ano],2026)</f>
        <v>582004.79</v>
      </c>
    </row>
    <row r="87" spans="18:22" x14ac:dyDescent="0.3">
      <c r="R87" t="s">
        <v>40</v>
      </c>
      <c r="S87" s="12">
        <f>V88/V87-1</f>
        <v>-0.20992348545893313</v>
      </c>
      <c r="U87" t="s">
        <v>36</v>
      </c>
      <c r="V87" s="3">
        <f>SUMIFS(tbTratamento[Volume],tbTratamento[Estrutura],"BV",tbTratamento[Ano],2025)</f>
        <v>424911.39</v>
      </c>
    </row>
    <row r="88" spans="18:22" x14ac:dyDescent="0.3">
      <c r="U88" t="s">
        <v>37</v>
      </c>
      <c r="V88" s="3">
        <f>SUMIFS(tbTratamento[Volume],tbTratamento[Estrutura],"BV",tbTratamento[Ano],2026)</f>
        <v>335712.50999999995</v>
      </c>
    </row>
    <row r="90" spans="18:22" x14ac:dyDescent="0.3">
      <c r="R90" t="s">
        <v>40</v>
      </c>
      <c r="S90" s="12">
        <f>V91/V90-1</f>
        <v>0.20014869921134815</v>
      </c>
      <c r="U90" t="s">
        <v>38</v>
      </c>
      <c r="V90" s="3">
        <f>SUMIFS(tbTratamento[Volume],tbTratamento[Estrutura],"OESTE 1",tbTratamento[Ano],2025)</f>
        <v>1156482.26</v>
      </c>
    </row>
    <row r="91" spans="18:22" x14ac:dyDescent="0.3">
      <c r="U91" t="s">
        <v>39</v>
      </c>
      <c r="V91" s="3">
        <f>SUMIFS(tbTratamento[Volume],tbTratamento[Estrutura],"OESTE 1",tbTratamento[Ano],2026)</f>
        <v>1387950.6800000002</v>
      </c>
    </row>
  </sheetData>
  <mergeCells count="7">
    <mergeCell ref="D40:E40"/>
    <mergeCell ref="H40:J40"/>
    <mergeCell ref="D4:E4"/>
    <mergeCell ref="H4:J4"/>
    <mergeCell ref="M4:N4"/>
    <mergeCell ref="D22:E22"/>
    <mergeCell ref="H22:J2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75DD-810E-4DB6-8266-70E409B33EA2}">
  <dimension ref="D4:X60"/>
  <sheetViews>
    <sheetView zoomScale="85" zoomScaleNormal="85" workbookViewId="0">
      <selection activeCell="U21" sqref="U21"/>
    </sheetView>
  </sheetViews>
  <sheetFormatPr defaultRowHeight="14.4" x14ac:dyDescent="0.3"/>
  <cols>
    <col min="4" max="4" width="13.5546875" bestFit="1" customWidth="1"/>
    <col min="5" max="5" width="11.33203125" bestFit="1" customWidth="1"/>
    <col min="6" max="6" width="10.109375" bestFit="1" customWidth="1"/>
    <col min="21" max="21" width="25.109375" bestFit="1" customWidth="1"/>
    <col min="22" max="23" width="10.33203125" bestFit="1" customWidth="1"/>
    <col min="24" max="24" width="12.5546875" customWidth="1"/>
  </cols>
  <sheetData>
    <row r="4" spans="4:24" x14ac:dyDescent="0.3">
      <c r="D4" s="16" t="s">
        <v>1</v>
      </c>
      <c r="E4" s="16"/>
      <c r="F4" s="16"/>
    </row>
    <row r="5" spans="4:24" x14ac:dyDescent="0.3">
      <c r="D5" s="3" t="s">
        <v>4</v>
      </c>
      <c r="E5" s="5" t="s">
        <v>41</v>
      </c>
      <c r="F5" s="5" t="s">
        <v>42</v>
      </c>
    </row>
    <row r="6" spans="4:24" x14ac:dyDescent="0.3">
      <c r="D6" s="3" t="s">
        <v>5</v>
      </c>
      <c r="E6" s="3"/>
      <c r="F6" s="3">
        <v>0</v>
      </c>
      <c r="U6" s="13"/>
      <c r="V6" s="14">
        <v>2025</v>
      </c>
      <c r="W6" s="14">
        <v>2026</v>
      </c>
      <c r="X6" s="14" t="s">
        <v>40</v>
      </c>
    </row>
    <row r="7" spans="4:24" x14ac:dyDescent="0.3">
      <c r="D7" s="3" t="s">
        <v>6</v>
      </c>
      <c r="E7" s="3"/>
      <c r="F7" s="3">
        <v>52895.6</v>
      </c>
      <c r="U7" s="13" t="s">
        <v>43</v>
      </c>
      <c r="V7" s="3">
        <f>AVERAGEIFS(tbTratamento[Volume],tbTratamento[Estrutura],"BCL",tbTratamento[Ano],2025)</f>
        <v>32246.0625</v>
      </c>
      <c r="W7" s="3">
        <f>AVERAGEIFS(tbTratamento[Volume],tbTratamento[Estrutura],"BCL",tbTratamento[Ano],2026)</f>
        <v>72750.598750000005</v>
      </c>
      <c r="X7" s="15" t="str">
        <f>IF((W7/V7)-1&gt;=0,"▲ "&amp;TEXT((W7/V7)-1,"0,00%"),"▼ "&amp;TEXT(ABS((W7/V7)-1),"0,00%"))</f>
        <v>▲ 125,61%</v>
      </c>
    </row>
    <row r="8" spans="4:24" x14ac:dyDescent="0.3">
      <c r="D8" s="3" t="s">
        <v>7</v>
      </c>
      <c r="E8" s="3"/>
      <c r="F8" s="3">
        <v>73198.27</v>
      </c>
      <c r="U8" s="13" t="s">
        <v>44</v>
      </c>
      <c r="V8" s="3">
        <f>AVERAGEIFS(tbTratamento[Volume],tbTratamento[Estrutura],"BV",tbTratamento[Ano],2025)</f>
        <v>42491.139000000003</v>
      </c>
      <c r="W8" s="3">
        <f>AVERAGEIFS(tbTratamento[Volume],tbTratamento[Estrutura],"BV",tbTratamento[Ano],2026)</f>
        <v>41964.063749999994</v>
      </c>
      <c r="X8" s="15" t="str">
        <f t="shared" ref="X8:X9" si="0">IF((W8/V8)-1&gt;=0,"▲ "&amp;TEXT((W8/V8)-1,"0,00%"),"▼ "&amp;TEXT(ABS((W8/V8)-1),"0,00%"))</f>
        <v>▼ 1,24%</v>
      </c>
    </row>
    <row r="9" spans="4:24" x14ac:dyDescent="0.3">
      <c r="D9" s="3" t="s">
        <v>8</v>
      </c>
      <c r="E9" s="3"/>
      <c r="F9" s="3">
        <v>92392.2</v>
      </c>
      <c r="U9" s="13" t="s">
        <v>45</v>
      </c>
      <c r="V9" s="3">
        <f>AVERAGEIFS(tbTratamento[Volume],tbTratamento[Estrutura],"Oeste 1",tbTratamento[Ano],2025)</f>
        <v>115648.226</v>
      </c>
      <c r="W9" s="3">
        <f>AVERAGEIFS(tbTratamento[Volume],tbTratamento[Estrutura],"Oeste 1",tbTratamento[Ano],2026)</f>
        <v>173493.83500000002</v>
      </c>
      <c r="X9" s="15" t="str">
        <f t="shared" si="0"/>
        <v>▲ 50,02%</v>
      </c>
    </row>
    <row r="10" spans="4:24" x14ac:dyDescent="0.3">
      <c r="D10" s="3" t="s">
        <v>9</v>
      </c>
      <c r="E10" s="3">
        <v>55217.17</v>
      </c>
      <c r="F10" s="3">
        <v>85426.75</v>
      </c>
    </row>
    <row r="11" spans="4:24" x14ac:dyDescent="0.3">
      <c r="D11" s="3" t="s">
        <v>10</v>
      </c>
      <c r="E11" s="3">
        <v>36103.99</v>
      </c>
      <c r="F11" s="3">
        <v>59008.98</v>
      </c>
    </row>
    <row r="12" spans="4:24" x14ac:dyDescent="0.3">
      <c r="D12" s="3" t="s">
        <v>11</v>
      </c>
      <c r="E12" s="3">
        <v>91668.84</v>
      </c>
      <c r="F12" s="3">
        <v>107075.8</v>
      </c>
    </row>
    <row r="13" spans="4:24" x14ac:dyDescent="0.3">
      <c r="D13" s="3" t="s">
        <v>12</v>
      </c>
      <c r="E13" s="3">
        <v>2295.8200000000002</v>
      </c>
      <c r="F13" s="3">
        <v>112007.19</v>
      </c>
    </row>
    <row r="14" spans="4:24" x14ac:dyDescent="0.3">
      <c r="D14" s="3" t="s">
        <v>13</v>
      </c>
      <c r="E14" s="3">
        <v>195.71</v>
      </c>
      <c r="F14" s="3"/>
    </row>
    <row r="15" spans="4:24" x14ac:dyDescent="0.3">
      <c r="D15" s="3" t="s">
        <v>14</v>
      </c>
      <c r="E15" s="3">
        <v>54486.65</v>
      </c>
      <c r="F15" s="3"/>
    </row>
    <row r="16" spans="4:24" x14ac:dyDescent="0.3">
      <c r="D16" s="3" t="s">
        <v>15</v>
      </c>
      <c r="E16" s="3">
        <v>16065.01</v>
      </c>
      <c r="F16" s="3"/>
    </row>
    <row r="17" spans="4:6" x14ac:dyDescent="0.3">
      <c r="D17" s="3" t="s">
        <v>16</v>
      </c>
      <c r="E17" s="3">
        <v>1935.31</v>
      </c>
      <c r="F17" s="3"/>
    </row>
    <row r="19" spans="4:6" x14ac:dyDescent="0.3">
      <c r="E19" s="2">
        <f>AVERAGE(E10:E17)</f>
        <v>32246.0625</v>
      </c>
      <c r="F19" s="2">
        <f>AVERAGE(F6:F13)</f>
        <v>72750.598750000005</v>
      </c>
    </row>
    <row r="21" spans="4:6" x14ac:dyDescent="0.3">
      <c r="D21" s="16" t="s">
        <v>2</v>
      </c>
      <c r="E21" s="16"/>
      <c r="F21" s="16"/>
    </row>
    <row r="22" spans="4:6" x14ac:dyDescent="0.3">
      <c r="D22" s="3" t="s">
        <v>4</v>
      </c>
      <c r="E22" s="5" t="s">
        <v>41</v>
      </c>
      <c r="F22" s="5" t="s">
        <v>42</v>
      </c>
    </row>
    <row r="23" spans="4:6" x14ac:dyDescent="0.3">
      <c r="D23" s="3" t="s">
        <v>5</v>
      </c>
      <c r="E23" s="3"/>
      <c r="F23" s="3">
        <v>50004.639999999999</v>
      </c>
    </row>
    <row r="24" spans="4:6" x14ac:dyDescent="0.3">
      <c r="D24" s="3" t="s">
        <v>6</v>
      </c>
      <c r="E24" s="3"/>
      <c r="F24" s="3">
        <v>49523.67</v>
      </c>
    </row>
    <row r="25" spans="4:6" x14ac:dyDescent="0.3">
      <c r="D25" s="3" t="s">
        <v>7</v>
      </c>
      <c r="E25" s="3">
        <v>59367.6</v>
      </c>
      <c r="F25" s="3">
        <v>70278.929999999993</v>
      </c>
    </row>
    <row r="26" spans="4:6" x14ac:dyDescent="0.3">
      <c r="D26" s="3" t="s">
        <v>8</v>
      </c>
      <c r="E26" s="3">
        <v>34257.360000000001</v>
      </c>
      <c r="F26" s="3">
        <v>70985.3</v>
      </c>
    </row>
    <row r="27" spans="4:6" x14ac:dyDescent="0.3">
      <c r="D27" s="3" t="s">
        <v>9</v>
      </c>
      <c r="E27" s="3">
        <v>8633.5400000000009</v>
      </c>
      <c r="F27" s="3">
        <v>41187.379999999997</v>
      </c>
    </row>
    <row r="28" spans="4:6" x14ac:dyDescent="0.3">
      <c r="D28" s="3" t="s">
        <v>10</v>
      </c>
      <c r="E28" s="3">
        <v>86867.68</v>
      </c>
      <c r="F28" s="3">
        <v>35993.910000000003</v>
      </c>
    </row>
    <row r="29" spans="4:6" x14ac:dyDescent="0.3">
      <c r="D29" s="3" t="s">
        <v>11</v>
      </c>
      <c r="E29" s="3">
        <v>52410.15</v>
      </c>
      <c r="F29" s="3">
        <v>10553.25</v>
      </c>
    </row>
    <row r="30" spans="4:6" x14ac:dyDescent="0.3">
      <c r="D30" s="3" t="s">
        <v>12</v>
      </c>
      <c r="E30" s="3">
        <v>13599.8</v>
      </c>
      <c r="F30" s="3">
        <v>7185.43</v>
      </c>
    </row>
    <row r="31" spans="4:6" x14ac:dyDescent="0.3">
      <c r="D31" s="3" t="s">
        <v>13</v>
      </c>
      <c r="E31" s="3">
        <v>54017.73</v>
      </c>
      <c r="F31" s="3"/>
    </row>
    <row r="32" spans="4:6" x14ac:dyDescent="0.3">
      <c r="D32" s="3" t="s">
        <v>14</v>
      </c>
      <c r="E32" s="3">
        <v>28863.25</v>
      </c>
      <c r="F32" s="3"/>
    </row>
    <row r="33" spans="4:6" x14ac:dyDescent="0.3">
      <c r="D33" s="3" t="s">
        <v>15</v>
      </c>
      <c r="E33" s="3">
        <v>26076.77</v>
      </c>
      <c r="F33" s="3"/>
    </row>
    <row r="34" spans="4:6" x14ac:dyDescent="0.3">
      <c r="D34" s="3" t="s">
        <v>16</v>
      </c>
      <c r="E34" s="3">
        <v>60817.51</v>
      </c>
      <c r="F34" s="3"/>
    </row>
    <row r="35" spans="4:6" x14ac:dyDescent="0.3">
      <c r="D35" s="2"/>
      <c r="E35" s="2"/>
      <c r="F35" s="2"/>
    </row>
    <row r="36" spans="4:6" x14ac:dyDescent="0.3">
      <c r="D36" s="2"/>
      <c r="E36" s="2">
        <f>AVERAGE(E25:E34)</f>
        <v>42491.139000000003</v>
      </c>
      <c r="F36" s="2">
        <f>AVERAGE(F23:F30)</f>
        <v>41964.063749999994</v>
      </c>
    </row>
    <row r="37" spans="4:6" x14ac:dyDescent="0.3">
      <c r="D37" s="2"/>
      <c r="E37" s="2"/>
      <c r="F37" s="2"/>
    </row>
    <row r="38" spans="4:6" x14ac:dyDescent="0.3">
      <c r="D38" s="2"/>
      <c r="E38" s="2"/>
      <c r="F38" s="2"/>
    </row>
    <row r="39" spans="4:6" x14ac:dyDescent="0.3">
      <c r="D39" s="16" t="s">
        <v>3</v>
      </c>
      <c r="E39" s="16"/>
      <c r="F39" s="16"/>
    </row>
    <row r="40" spans="4:6" x14ac:dyDescent="0.3">
      <c r="D40" s="3" t="s">
        <v>4</v>
      </c>
      <c r="E40" s="5" t="s">
        <v>41</v>
      </c>
      <c r="F40" s="5" t="s">
        <v>42</v>
      </c>
    </row>
    <row r="41" spans="4:6" x14ac:dyDescent="0.3">
      <c r="D41" s="3" t="s">
        <v>5</v>
      </c>
      <c r="E41" s="3"/>
      <c r="F41" s="3">
        <v>118377.27</v>
      </c>
    </row>
    <row r="42" spans="4:6" x14ac:dyDescent="0.3">
      <c r="D42" s="3" t="s">
        <v>6</v>
      </c>
      <c r="E42" s="3"/>
      <c r="F42" s="3">
        <v>139519.45000000001</v>
      </c>
    </row>
    <row r="43" spans="4:6" x14ac:dyDescent="0.3">
      <c r="D43" s="3" t="s">
        <v>7</v>
      </c>
      <c r="E43" s="3">
        <v>106553.52</v>
      </c>
      <c r="F43" s="3">
        <v>166608.10999999999</v>
      </c>
    </row>
    <row r="44" spans="4:6" x14ac:dyDescent="0.3">
      <c r="D44" s="3" t="s">
        <v>8</v>
      </c>
      <c r="E44" s="3">
        <v>105966.96</v>
      </c>
      <c r="F44" s="3">
        <v>157848.98000000001</v>
      </c>
    </row>
    <row r="45" spans="4:6" x14ac:dyDescent="0.3">
      <c r="D45" s="3" t="s">
        <v>9</v>
      </c>
      <c r="E45" s="3">
        <v>67242.14</v>
      </c>
      <c r="F45" s="3">
        <v>195059.11</v>
      </c>
    </row>
    <row r="46" spans="4:6" x14ac:dyDescent="0.3">
      <c r="D46" s="3" t="s">
        <v>10</v>
      </c>
      <c r="E46" s="3">
        <v>99881.73</v>
      </c>
      <c r="F46" s="3">
        <v>203365.73</v>
      </c>
    </row>
    <row r="47" spans="4:6" x14ac:dyDescent="0.3">
      <c r="D47" s="3" t="s">
        <v>11</v>
      </c>
      <c r="E47" s="3">
        <v>98148.26</v>
      </c>
      <c r="F47" s="3">
        <v>212912.95</v>
      </c>
    </row>
    <row r="48" spans="4:6" x14ac:dyDescent="0.3">
      <c r="D48" s="3" t="s">
        <v>12</v>
      </c>
      <c r="E48" s="3">
        <v>103222.03</v>
      </c>
      <c r="F48" s="3">
        <v>194259.08</v>
      </c>
    </row>
    <row r="49" spans="4:6" x14ac:dyDescent="0.3">
      <c r="D49" s="3" t="s">
        <v>13</v>
      </c>
      <c r="E49" s="3">
        <v>135769.20000000001</v>
      </c>
      <c r="F49" s="3"/>
    </row>
    <row r="50" spans="4:6" x14ac:dyDescent="0.3">
      <c r="D50" s="3" t="s">
        <v>14</v>
      </c>
      <c r="E50" s="3">
        <v>176611.14</v>
      </c>
      <c r="F50" s="3"/>
    </row>
    <row r="51" spans="4:6" x14ac:dyDescent="0.3">
      <c r="D51" s="3" t="s">
        <v>15</v>
      </c>
      <c r="E51" s="3">
        <v>121822.37</v>
      </c>
      <c r="F51" s="3"/>
    </row>
    <row r="52" spans="4:6" x14ac:dyDescent="0.3">
      <c r="D52" s="3" t="s">
        <v>16</v>
      </c>
      <c r="E52" s="3">
        <v>141264.91</v>
      </c>
      <c r="F52" s="3"/>
    </row>
    <row r="53" spans="4:6" x14ac:dyDescent="0.3">
      <c r="D53" s="2"/>
      <c r="E53" s="2"/>
      <c r="F53" s="2"/>
    </row>
    <row r="54" spans="4:6" x14ac:dyDescent="0.3">
      <c r="D54" s="2"/>
      <c r="E54" s="2">
        <f>AVERAGE(E43:E52)</f>
        <v>115648.226</v>
      </c>
      <c r="F54" s="2">
        <f>AVERAGE(F41:F48)</f>
        <v>173493.83500000002</v>
      </c>
    </row>
    <row r="55" spans="4:6" x14ac:dyDescent="0.3">
      <c r="D55" s="2"/>
      <c r="E55" s="2"/>
      <c r="F55" s="2"/>
    </row>
    <row r="56" spans="4:6" x14ac:dyDescent="0.3">
      <c r="D56" s="2"/>
      <c r="E56" s="2"/>
      <c r="F56" s="2"/>
    </row>
    <row r="57" spans="4:6" x14ac:dyDescent="0.3">
      <c r="D57" s="2"/>
      <c r="E57" s="2"/>
      <c r="F57" s="2"/>
    </row>
    <row r="58" spans="4:6" x14ac:dyDescent="0.3">
      <c r="D58" s="2"/>
      <c r="E58" s="2"/>
      <c r="F58" s="2"/>
    </row>
    <row r="59" spans="4:6" x14ac:dyDescent="0.3">
      <c r="D59" s="2"/>
      <c r="E59" s="2"/>
      <c r="F59" s="2"/>
    </row>
    <row r="60" spans="4:6" x14ac:dyDescent="0.3">
      <c r="D60" s="2"/>
      <c r="E60" s="2"/>
      <c r="F60" s="2"/>
    </row>
  </sheetData>
  <mergeCells count="3">
    <mergeCell ref="D4:F4"/>
    <mergeCell ref="D21:F21"/>
    <mergeCell ref="D39:F39"/>
  </mergeCells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Dashboard</vt:lpstr>
      <vt:lpstr>Base de Dados Original</vt:lpstr>
      <vt:lpstr>Base_Dashborad</vt:lpstr>
      <vt:lpstr>Auxiliar</vt:lpstr>
      <vt:lpstr>Dashboard!Area_de_impressao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Fagundes Pires De Lima - Wsp</dc:creator>
  <cp:lastModifiedBy>Jhonatan Fagundes</cp:lastModifiedBy>
  <dcterms:created xsi:type="dcterms:W3CDTF">2026-07-09T16:57:09Z</dcterms:created>
  <dcterms:modified xsi:type="dcterms:W3CDTF">2026-09-13T03:47:41Z</dcterms:modified>
</cp:coreProperties>
</file>